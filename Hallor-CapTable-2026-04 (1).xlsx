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Founders" sheetId="3" state="visible" r:id="rId5"/>
    <sheet name="Seed" sheetId="4" state="visible" r:id="rId6"/>
    <sheet name="Investors" sheetId="5" state="visible" r:id="rId7"/>
    <sheet name="Warrants Converted" sheetId="6" state="visible" r:id="rId8"/>
    <sheet name="New Raise" sheetId="7" state="visible" r:id="rId9"/>
    <sheet name="Pro Form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<sst xmlns="http://schemas.openxmlformats.org/spreadsheetml/2006/main" count="574" uniqueCount="353">
  <si>
    <t xml:space="preserve">Hallor Group Inc. — Pro Forma Cap Table</t>
  </si>
  <si>
    <t xml:space="preserve">Pre-listing snapshot · As of 2026-04-27</t>
  </si>
  <si>
    <t xml:space="preserve">Source data</t>
  </si>
  <si>
    <t xml:space="preserve">Existing CSR data</t>
  </si>
  <si>
    <t xml:space="preserve">Q1 2024 CSR (Shareholders + Warrant Holders tabs)</t>
  </si>
  <si>
    <t xml:space="preserve">Categorization basis</t>
  </si>
  <si>
    <t xml:space="preserve">Issuance Code in CSR: PPA + INCORP → Founders; PP@$0.05 → Seed; PP@$0.10 + SFD + Finders → Investors</t>
  </si>
  <si>
    <t xml:space="preserve">New raise terms</t>
  </si>
  <si>
    <t xml:space="preserve">Approximately $2,000,000 at $0.14 per share</t>
  </si>
  <si>
    <t xml:space="preserve">Top-line totals</t>
  </si>
  <si>
    <t xml:space="preserve">Metric</t>
  </si>
  <si>
    <t xml:space="preserve">Shares / $</t>
  </si>
  <si>
    <t xml:space="preserve">Founders shares</t>
  </si>
  <si>
    <t xml:space="preserve">Seed shares</t>
  </si>
  <si>
    <t xml:space="preserve">Investors shares</t>
  </si>
  <si>
    <t xml:space="preserve">Sub-total: existing issued shares</t>
  </si>
  <si>
    <t xml:space="preserve">Warrants converted (added)</t>
  </si>
  <si>
    <t xml:space="preserve">Sub-total: post-conversion shares</t>
  </si>
  <si>
    <t xml:space="preserve">New raise shares</t>
  </si>
  <si>
    <t xml:space="preserve">PRO FORMA FULLY DILUTED</t>
  </si>
  <si>
    <t xml:space="preserve">Consideration — Seed (PP @ $0.05)</t>
  </si>
  <si>
    <t xml:space="preserve">Consideration — Investors (PP+SFD+Finders)</t>
  </si>
  <si>
    <t xml:space="preserve">Consideration — Special Warrants</t>
  </si>
  <si>
    <t xml:space="preserve">Consideration — New Raise</t>
  </si>
  <si>
    <t xml:space="preserve">TOTAL CONSIDERATION RECORDED</t>
  </si>
  <si>
    <t xml:space="preserve">Note: 'Consideration' includes both cash and deemed value. Of the Investors block, $1,258,080 was non-cash (SFD shares-for-debt) and the PPA $6M was a deemed acquisition price.</t>
  </si>
  <si>
    <t xml:space="preserve">Valuation snapshot @ $0.14</t>
  </si>
  <si>
    <t xml:space="preserve">Pre-money shares (post-warrant conversion)</t>
  </si>
  <si>
    <t xml:space="preserve">Pre-money valuation</t>
  </si>
  <si>
    <t xml:space="preserve">Post-money shares</t>
  </si>
  <si>
    <t xml:space="preserve">Post-money valuation</t>
  </si>
  <si>
    <t xml:space="preserve">New money %</t>
  </si>
  <si>
    <t xml:space="preserve">Existing %</t>
  </si>
  <si>
    <t xml:space="preserve">Hallor Group Inc. — Cap Table Inputs</t>
  </si>
  <si>
    <t xml:space="preserve">All assumptions in blue. Change here, the model recalculates.</t>
  </si>
  <si>
    <t xml:space="preserve">Assumption</t>
  </si>
  <si>
    <t xml:space="preserve">Value</t>
  </si>
  <si>
    <t xml:space="preserve">Notes</t>
  </si>
  <si>
    <t xml:space="preserve">As-of date</t>
  </si>
  <si>
    <t xml:space="preserve">2026-04-27</t>
  </si>
  <si>
    <t xml:space="preserve">Cap table snapshot date</t>
  </si>
  <si>
    <t xml:space="preserve">Existing issued &amp; outstanding</t>
  </si>
  <si>
    <t xml:space="preserve">Per CSR Q1 2024 (Total)</t>
  </si>
  <si>
    <t xml:space="preserve">Founders shares (PPA + INCORP)</t>
  </si>
  <si>
    <t xml:space="preserve">Halston 6M + Taylor 6M + Karim 1</t>
  </si>
  <si>
    <t xml:space="preserve">Seed shares (PP @ $0.05)</t>
  </si>
  <si>
    <t xml:space="preserve">April 2021 — 3 holders, $100K</t>
  </si>
  <si>
    <t xml:space="preserve">Investor shares (PP $0.10/SFD)</t>
  </si>
  <si>
    <t xml:space="preserve">PP @ $0.10 + SFD + Finders</t>
  </si>
  <si>
    <t xml:space="preserve">Warrants outstanding (2022 SW)</t>
  </si>
  <si>
    <t xml:space="preserve">$0.10, 1:1 conversion, no add'l cash</t>
  </si>
  <si>
    <t xml:space="preserve">Warrants outstanding (2023 SW)</t>
  </si>
  <si>
    <t xml:space="preserve">$0.50, 1:1 conversion, no add'l cash</t>
  </si>
  <si>
    <t xml:space="preserve">Total warrants to convert</t>
  </si>
  <si>
    <t xml:space="preserve">Sum of 2022 + 2023 SW</t>
  </si>
  <si>
    <t xml:space="preserve">NEW RAISE — target gross proceeds ($)</t>
  </si>
  <si>
    <t xml:space="preserve">Bill: 'approximately $2M'</t>
  </si>
  <si>
    <t xml:space="preserve">NEW RAISE — issue price per share ($)</t>
  </si>
  <si>
    <t xml:space="preserve">Bill: '$0.14'</t>
  </si>
  <si>
    <t xml:space="preserve">NEW RAISE — shares to issue (calc)</t>
  </si>
  <si>
    <t xml:space="preserve">Calc: proceeds ÷ price</t>
  </si>
  <si>
    <t xml:space="preserve">NEW RAISE — actual gross proceeds (calc)</t>
  </si>
  <si>
    <t xml:space="preserve">Calc: shares × price</t>
  </si>
  <si>
    <t xml:space="preserve">Founders</t>
  </si>
  <si>
    <t xml:space="preserve">PPA (acquisition) + INCORP — original control block</t>
  </si>
  <si>
    <t xml:space="preserve">#</t>
  </si>
  <si>
    <t xml:space="preserve">Holder</t>
  </si>
  <si>
    <t xml:space="preserve">Code</t>
  </si>
  <si>
    <t xml:space="preserve">Issue Price</t>
  </si>
  <si>
    <t xml:space="preserve">Shares</t>
  </si>
  <si>
    <t xml:space="preserve">Consideration ($)</t>
  </si>
  <si>
    <t xml:space="preserve">% of Class</t>
  </si>
  <si>
    <t xml:space="preserve">ASHIK KARIM</t>
  </si>
  <si>
    <t xml:space="preserve">INCORP</t>
  </si>
  <si>
    <t xml:space="preserve">Keith Halston</t>
  </si>
  <si>
    <t xml:space="preserve">PPA</t>
  </si>
  <si>
    <t xml:space="preserve">James Taylor</t>
  </si>
  <si>
    <t xml:space="preserve">TOTAL</t>
  </si>
  <si>
    <t xml:space="preserve">Notes:</t>
  </si>
  <si>
    <t xml:space="preserve">PPA = Acquisition (Hallor Industries roll-in, July 2023). INCORP = Single incorporation share. CVan Finders Fee classified under Investors.</t>
  </si>
  <si>
    <t xml:space="preserve">Seed Round</t>
  </si>
  <si>
    <t xml:space="preserve">Private placement at $0.05 — April 2021</t>
  </si>
  <si>
    <t xml:space="preserve">PP</t>
  </si>
  <si>
    <t xml:space="preserve">GURJIT AUJLA</t>
  </si>
  <si>
    <t xml:space="preserve">ROPEBAKE MANAGEMENT CORP.</t>
  </si>
  <si>
    <t xml:space="preserve">All three subscribers paid cash. Foundational round at $0.05 issue price.</t>
  </si>
  <si>
    <t xml:space="preserve">Investors</t>
  </si>
  <si>
    <t xml:space="preserve">Subsequent PPs at $0.10 + Shares for Debt + Acquisition Finders Fee</t>
  </si>
  <si>
    <t xml:space="preserve">PETER DAVIDSON</t>
  </si>
  <si>
    <t xml:space="preserve">GEORGE JOHNSTONE</t>
  </si>
  <si>
    <t xml:space="preserve">JOHN H.C. PINSENT</t>
  </si>
  <si>
    <t xml:space="preserve">ROB PARKHILL</t>
  </si>
  <si>
    <t xml:space="preserve">JOANNE JACKSON</t>
  </si>
  <si>
    <t xml:space="preserve">LEED JONES GABLE</t>
  </si>
  <si>
    <t xml:space="preserve">CARLA THOMAS</t>
  </si>
  <si>
    <t xml:space="preserve">VISIO VENTURES INC.</t>
  </si>
  <si>
    <t xml:space="preserve">BOB TITUS</t>
  </si>
  <si>
    <t xml:space="preserve">ERNIE LALONDE</t>
  </si>
  <si>
    <t xml:space="preserve">PETER GORGENYI</t>
  </si>
  <si>
    <t xml:space="preserve">GORDON LEE</t>
  </si>
  <si>
    <t xml:space="preserve">JAIDEEP PURI</t>
  </si>
  <si>
    <t xml:space="preserve">CHAMKOR DULAI</t>
  </si>
  <si>
    <t xml:space="preserve">GURPAUL AULAKH</t>
  </si>
  <si>
    <t xml:space="preserve">SUNDEEP BHANOT</t>
  </si>
  <si>
    <t xml:space="preserve">HARINDER TATLA</t>
  </si>
  <si>
    <t xml:space="preserve">CRAIG KELLEY</t>
  </si>
  <si>
    <t xml:space="preserve">SYNAERO SOLUTIONS INC.</t>
  </si>
  <si>
    <t xml:space="preserve">PALODURO INVESTMENTS INC. (BOB CROSS)</t>
  </si>
  <si>
    <t xml:space="preserve">MANJIT MANDER</t>
  </si>
  <si>
    <t xml:space="preserve">PAVANPAL MANDER</t>
  </si>
  <si>
    <t xml:space="preserve">GURINDER SOOCH</t>
  </si>
  <si>
    <t xml:space="preserve">R. STEWART THOMPSON</t>
  </si>
  <si>
    <t xml:space="preserve">0854689 BC LTD.</t>
  </si>
  <si>
    <t xml:space="preserve">JASON NEALE</t>
  </si>
  <si>
    <t xml:space="preserve">INFINITY MORTGAGE CORPORATION</t>
  </si>
  <si>
    <t xml:space="preserve">D. RUSSELL WEIR PROFESSIONAL CORPORATION</t>
  </si>
  <si>
    <t xml:space="preserve">ROB HIMMELSPACH</t>
  </si>
  <si>
    <t xml:space="preserve">DENISE ROGERS</t>
  </si>
  <si>
    <t xml:space="preserve">CIBC WOOD GUNDY, Acct. 69206006</t>
  </si>
  <si>
    <t xml:space="preserve">CVAN HOLDINGS INC.</t>
  </si>
  <si>
    <t xml:space="preserve">SUNJEET PARMAR</t>
  </si>
  <si>
    <t xml:space="preserve">BRIAN OLIVEIRA</t>
  </si>
  <si>
    <t xml:space="preserve">CLAIRE EMPTAGE</t>
  </si>
  <si>
    <t xml:space="preserve">KELLY SHERMAN</t>
  </si>
  <si>
    <t xml:space="preserve">MARC LAZARUS</t>
  </si>
  <si>
    <t xml:space="preserve">JASMINE OSTOPOWICH</t>
  </si>
  <si>
    <t xml:space="preserve">KRIS SMART</t>
  </si>
  <si>
    <t xml:space="preserve">DARBY MILNER</t>
  </si>
  <si>
    <t xml:space="preserve">IRENE HAWRYSH</t>
  </si>
  <si>
    <t xml:space="preserve">ROSLYN DAVIDSON</t>
  </si>
  <si>
    <t xml:space="preserve">KENNETH DAVIDSON</t>
  </si>
  <si>
    <t xml:space="preserve">BILL KOLODYCHUK</t>
  </si>
  <si>
    <t xml:space="preserve">KA MING LEUNG</t>
  </si>
  <si>
    <t xml:space="preserve">DAVID VAN</t>
  </si>
  <si>
    <t xml:space="preserve">ARTUR GAJDA</t>
  </si>
  <si>
    <t xml:space="preserve">MATTHEW ROBERGE</t>
  </si>
  <si>
    <t xml:space="preserve">MATTHEW PALSSON</t>
  </si>
  <si>
    <t xml:space="preserve">PETER DAWSON</t>
  </si>
  <si>
    <t xml:space="preserve">MICHAEL WEBB</t>
  </si>
  <si>
    <t xml:space="preserve">JOHN GOODWIN</t>
  </si>
  <si>
    <t xml:space="preserve">MELINDA HARMATI</t>
  </si>
  <si>
    <t xml:space="preserve">DOUGLAS MATTHEWS</t>
  </si>
  <si>
    <t xml:space="preserve">0991843 BC LTD.</t>
  </si>
  <si>
    <t xml:space="preserve">ERICA GRIFFIN</t>
  </si>
  <si>
    <t xml:space="preserve">RANJIT GADEY</t>
  </si>
  <si>
    <t xml:space="preserve">JAMES EVOY</t>
  </si>
  <si>
    <t xml:space="preserve">DREAM EVEN BIGGER DEVELOPMENTS INC.</t>
  </si>
  <si>
    <t xml:space="preserve">WILLIAM HIMMELSPACH</t>
  </si>
  <si>
    <t xml:space="preserve">PRITPAL MANDER</t>
  </si>
  <si>
    <t xml:space="preserve">NOAH BARLOW</t>
  </si>
  <si>
    <t xml:space="preserve">CAMERON LAWRENCE</t>
  </si>
  <si>
    <t xml:space="preserve">MATHEW LAWRENCE</t>
  </si>
  <si>
    <t xml:space="preserve">ALAN DAVIS MCGREGOR</t>
  </si>
  <si>
    <t xml:space="preserve">KYLE ROBERT LOUIS STENGER</t>
  </si>
  <si>
    <t xml:space="preserve">CHRISTIAN BRIX</t>
  </si>
  <si>
    <t xml:space="preserve">ANDREA OLIVEIRA</t>
  </si>
  <si>
    <t xml:space="preserve">BARBARA LYNN DAVIDSON</t>
  </si>
  <si>
    <t xml:space="preserve">JASON HERBERT</t>
  </si>
  <si>
    <t xml:space="preserve">PATRICIA GELINAS</t>
  </si>
  <si>
    <t xml:space="preserve">K. DAVIDSON INC.</t>
  </si>
  <si>
    <t xml:space="preserve">JACQUELINE MCLEOD</t>
  </si>
  <si>
    <t xml:space="preserve">COMPANY FINDER</t>
  </si>
  <si>
    <t xml:space="preserve">MUNINDRA SEHGAL</t>
  </si>
  <si>
    <t xml:space="preserve">BRAD R. LAWRENCE</t>
  </si>
  <si>
    <t xml:space="preserve">GREGORY W. SINGLETON</t>
  </si>
  <si>
    <t xml:space="preserve">PETER LAWRENCE AND SHIRLEY LAWRENCE</t>
  </si>
  <si>
    <t xml:space="preserve">GURDEEP RAI</t>
  </si>
  <si>
    <t xml:space="preserve">SCOTT LAWRENCE</t>
  </si>
  <si>
    <t xml:space="preserve">COOMBE FARMS LTD.</t>
  </si>
  <si>
    <t xml:space="preserve">JONATHAN A. MAYER</t>
  </si>
  <si>
    <t xml:space="preserve">CAMPBELL STEWART</t>
  </si>
  <si>
    <t xml:space="preserve">LOVATT EFFECTIVE SYSTEMS INC.</t>
  </si>
  <si>
    <t xml:space="preserve">THOMAS A. BELYK</t>
  </si>
  <si>
    <t xml:space="preserve">JOHN CONOHAN</t>
  </si>
  <si>
    <t xml:space="preserve">SAMUEL HERBERT</t>
  </si>
  <si>
    <t xml:space="preserve">CINDY THUSWALDNER</t>
  </si>
  <si>
    <t xml:space="preserve">JUSTYN FIELD</t>
  </si>
  <si>
    <t xml:space="preserve">JORDYN FIELD</t>
  </si>
  <si>
    <t xml:space="preserve">CHARITY FIELD</t>
  </si>
  <si>
    <t xml:space="preserve">GRACE FIELD</t>
  </si>
  <si>
    <t xml:space="preserve">YASMINE ROULLEAU DE LA ROUSSIERE</t>
  </si>
  <si>
    <t xml:space="preserve">MARILYN BUCHANAN</t>
  </si>
  <si>
    <t xml:space="preserve">FRITZ KIPFER</t>
  </si>
  <si>
    <t xml:space="preserve">KEITH MACINTYRE</t>
  </si>
  <si>
    <t xml:space="preserve">TOM LAWLESS</t>
  </si>
  <si>
    <t xml:space="preserve">JOHN MICHAEL GLENNON</t>
  </si>
  <si>
    <t xml:space="preserve">CATHERINE BARLOW</t>
  </si>
  <si>
    <t xml:space="preserve">MATTHEW ROBERT LEVITAN</t>
  </si>
  <si>
    <t xml:space="preserve">NICHOLAS SORBARA</t>
  </si>
  <si>
    <t xml:space="preserve">MARY CLAIRE LOGUE</t>
  </si>
  <si>
    <t xml:space="preserve">BRANDON MARSHALL</t>
  </si>
  <si>
    <t xml:space="preserve">KATHRYN ANN RUSSO</t>
  </si>
  <si>
    <t xml:space="preserve">COMPUREX COMPUTER SOLUTIONS</t>
  </si>
  <si>
    <t xml:space="preserve">LIAM GERHARD GLENNON</t>
  </si>
  <si>
    <t xml:space="preserve">CONNOR MICHAEL GLENNON</t>
  </si>
  <si>
    <t xml:space="preserve">GLENN SCHMIDT</t>
  </si>
  <si>
    <t xml:space="preserve">SVIATASLAU KANDAKOU</t>
  </si>
  <si>
    <t xml:space="preserve">FOREVER ENDEAVOUR HOLDING LTD.</t>
  </si>
  <si>
    <t xml:space="preserve">1449908 ONTARIO INC.</t>
  </si>
  <si>
    <t xml:space="preserve">NATALLIA HRAMIANITSKAYA</t>
  </si>
  <si>
    <t xml:space="preserve">Write Here Now Ventures Ltd.</t>
  </si>
  <si>
    <t xml:space="preserve">CanKev Ventures Inc.</t>
  </si>
  <si>
    <t xml:space="preserve">KEVIN BROWN</t>
  </si>
  <si>
    <t xml:space="preserve">COLLEEN CHAPMAN</t>
  </si>
  <si>
    <t xml:space="preserve">ABHINAV KANTI</t>
  </si>
  <si>
    <t xml:space="preserve">GIUSEPPE CACIOPPO</t>
  </si>
  <si>
    <t xml:space="preserve">DAVID PEREIRA</t>
  </si>
  <si>
    <t xml:space="preserve">BRIAN MELO</t>
  </si>
  <si>
    <t xml:space="preserve">MARIO SARABANDO</t>
  </si>
  <si>
    <t xml:space="preserve">PAULO FONTES</t>
  </si>
  <si>
    <t xml:space="preserve">PAULO OLIVEIRA</t>
  </si>
  <si>
    <t xml:space="preserve">BRAM AMIR HOBUTI</t>
  </si>
  <si>
    <t xml:space="preserve">RUSSEL FIELDS</t>
  </si>
  <si>
    <t xml:space="preserve">SONIA KANTI</t>
  </si>
  <si>
    <t xml:space="preserve">TERESA MCDONALD</t>
  </si>
  <si>
    <t xml:space="preserve">JOHN CAMPBELL</t>
  </si>
  <si>
    <t xml:space="preserve">LESLIE FRANK SKELTON</t>
  </si>
  <si>
    <t xml:space="preserve">ERIC BERNARD MILLER</t>
  </si>
  <si>
    <t xml:space="preserve">ZSB &amp; COMPANY PROFESSIONAL CORPORATION</t>
  </si>
  <si>
    <t xml:space="preserve">1190480 AB LTD.</t>
  </si>
  <si>
    <t xml:space="preserve">STACEY MARIE COPELAND</t>
  </si>
  <si>
    <t xml:space="preserve">ANN LAWRENCE</t>
  </si>
  <si>
    <t xml:space="preserve">SAMUEL JAMES COYKENDALL</t>
  </si>
  <si>
    <t xml:space="preserve">NIMBLE STRATEGIZING INC.</t>
  </si>
  <si>
    <t xml:space="preserve">RENAE DAWN STOVER</t>
  </si>
  <si>
    <t xml:space="preserve">KEERTHANA TRACEY VINCENT</t>
  </si>
  <si>
    <t xml:space="preserve">JAMES MACKINNON DOW</t>
  </si>
  <si>
    <t xml:space="preserve">WILCAS HOLDINGS LTD.</t>
  </si>
  <si>
    <t xml:space="preserve">1327132 BC LTD.</t>
  </si>
  <si>
    <t xml:space="preserve">SERGEI RYGA</t>
  </si>
  <si>
    <t xml:space="preserve">EVELYN CHANG</t>
  </si>
  <si>
    <t xml:space="preserve">TD BANK, ACCT. SDRSP 1471W4</t>
  </si>
  <si>
    <t xml:space="preserve">CAMILLE HUNT</t>
  </si>
  <si>
    <t xml:space="preserve">ADRIAN MORRIS</t>
  </si>
  <si>
    <t xml:space="preserve">BRANDON FARR</t>
  </si>
  <si>
    <t xml:space="preserve">DANA SCHOFIELD</t>
  </si>
  <si>
    <t xml:space="preserve">VILHELM BOGGILD</t>
  </si>
  <si>
    <t xml:space="preserve">STEPHEN LANGFORD</t>
  </si>
  <si>
    <t xml:space="preserve">CASEY LAU</t>
  </si>
  <si>
    <t xml:space="preserve">LEVEL UP STRATEGIES INC.</t>
  </si>
  <si>
    <t xml:space="preserve">FARR STRATEGY GROUP INC.</t>
  </si>
  <si>
    <t xml:space="preserve">RACHEL FARR</t>
  </si>
  <si>
    <t xml:space="preserve">TODD EMBLEY</t>
  </si>
  <si>
    <t xml:space="preserve">NICHOLAS STEVEN NOVAK</t>
  </si>
  <si>
    <t xml:space="preserve">DYLAN BARLOW</t>
  </si>
  <si>
    <t xml:space="preserve">ETHAN WILLIAM RUTLEY</t>
  </si>
  <si>
    <t xml:space="preserve">AMRITH SANCTO VINCENT</t>
  </si>
  <si>
    <t xml:space="preserve">WEI-WEI HAN NATUROPATHIC PROFESSIONAL CORP.</t>
  </si>
  <si>
    <t xml:space="preserve">SHOWERS HAN FAMILY TRUST</t>
  </si>
  <si>
    <t xml:space="preserve">DOUGLAS COLLINS</t>
  </si>
  <si>
    <t xml:space="preserve">RBC DIRECT INVESTING, ACCT. 66765289</t>
  </si>
  <si>
    <t xml:space="preserve">TD ACCT. 1253 077XR4A</t>
  </si>
  <si>
    <t xml:space="preserve">ARS VENTURES LTD.</t>
  </si>
  <si>
    <t xml:space="preserve">SIEBENGA HOLDINGS CORP.</t>
  </si>
  <si>
    <t xml:space="preserve">AXE CAP INC.</t>
  </si>
  <si>
    <t xml:space="preserve">Ashik Holdings Inc.</t>
  </si>
  <si>
    <t xml:space="preserve">SFD</t>
  </si>
  <si>
    <t xml:space="preserve">Ropebake Management Corp.</t>
  </si>
  <si>
    <t xml:space="preserve">CVan Holdings Inc.</t>
  </si>
  <si>
    <t xml:space="preserve">0854689 B.C. Ltd.</t>
  </si>
  <si>
    <t xml:space="preserve">Dream Even Bigger Developments Inc.</t>
  </si>
  <si>
    <t xml:space="preserve">Charles Funaro</t>
  </si>
  <si>
    <t xml:space="preserve">Gurinder Sooch</t>
  </si>
  <si>
    <t xml:space="preserve">Jaspinder Dhami</t>
  </si>
  <si>
    <t xml:space="preserve">UpCapital Investment Corp.</t>
  </si>
  <si>
    <t xml:space="preserve">CVan Finders Fee</t>
  </si>
  <si>
    <t xml:space="preserve">Includes 167 PP @ $0.10 holders, 9 SFD holders (services rendered), and CVan Finders Fee from PPA.</t>
  </si>
  <si>
    <t xml:space="preserve">Special Warrants — Converted to Common</t>
  </si>
  <si>
    <t xml:space="preserve">All 53 SW holders convert 1:1 (no additional consideration on exercise)</t>
  </si>
  <si>
    <t xml:space="preserve">Year</t>
  </si>
  <si>
    <t xml:space="preserve">Subscription Price</t>
  </si>
  <si>
    <t xml:space="preserve">Shares Issued</t>
  </si>
  <si>
    <t xml:space="preserve">Original $ Subscribed</t>
  </si>
  <si>
    <t xml:space="preserve">SUSAN LYN KNEIDER</t>
  </si>
  <si>
    <t xml:space="preserve">ROPE BAKE MANAGEMENT CORP.</t>
  </si>
  <si>
    <t xml:space="preserve">ALAN MCGREGOR</t>
  </si>
  <si>
    <t xml:space="preserve">ALAN MICHAEL TAYLOR</t>
  </si>
  <si>
    <t xml:space="preserve">BRANDON DALE HALSTON</t>
  </si>
  <si>
    <t xml:space="preserve">BRETT HALSTON</t>
  </si>
  <si>
    <t xml:space="preserve">CHASE TAYLOR</t>
  </si>
  <si>
    <t xml:space="preserve">CHERYL ANN BOTT</t>
  </si>
  <si>
    <t xml:space="preserve">CHRISTINE J. HALSTON</t>
  </si>
  <si>
    <t xml:space="preserve">CHRISTINE DIONNE KULLMANN-TAYLOR</t>
  </si>
  <si>
    <t xml:space="preserve">CLIVE ROBERT HALSTON</t>
  </si>
  <si>
    <t xml:space="preserve">CORY BASHUK</t>
  </si>
  <si>
    <t xml:space="preserve">CRISTY SUZANNE LEWIS</t>
  </si>
  <si>
    <t xml:space="preserve">DAVID YULL</t>
  </si>
  <si>
    <t xml:space="preserve">Dean Kneider</t>
  </si>
  <si>
    <t xml:space="preserve">DONALD FREDERICK BURTON</t>
  </si>
  <si>
    <t xml:space="preserve">ERIC MILLER</t>
  </si>
  <si>
    <t xml:space="preserve">GWENDOLYN HALSTON</t>
  </si>
  <si>
    <t xml:space="preserve">HAILEE NICOLE LEWIS</t>
  </si>
  <si>
    <t xml:space="preserve">JAMES DAVID LEWIS</t>
  </si>
  <si>
    <t xml:space="preserve">JODI MERETTA JOHNSON</t>
  </si>
  <si>
    <t xml:space="preserve">JOHN H.C. PINSENT PROFESSIONAL CORPORATION</t>
  </si>
  <si>
    <t xml:space="preserve">KELVIN SMITH</t>
  </si>
  <si>
    <t xml:space="preserve">KENNETH WAYNE TAYLOR</t>
  </si>
  <si>
    <t xml:space="preserve">LAURA BUCCI</t>
  </si>
  <si>
    <t xml:space="preserve">CANKEV VENTURES INC.</t>
  </si>
  <si>
    <t xml:space="preserve">NICOLE MARIE HALSTON</t>
  </si>
  <si>
    <t xml:space="preserve">LELIA TAYLOR</t>
  </si>
  <si>
    <t xml:space="preserve">MARK HALSTON</t>
  </si>
  <si>
    <t xml:space="preserve">PALODURO INVESTMENTS INC.</t>
  </si>
  <si>
    <t xml:space="preserve">MAUREEN ELLEN HALSTON</t>
  </si>
  <si>
    <t xml:space="preserve">PAUL ANTHONY HALSTON</t>
  </si>
  <si>
    <t xml:space="preserve">RHEANNA CARDIN</t>
  </si>
  <si>
    <t xml:space="preserve">TLM MANAGEMENT LTD.</t>
  </si>
  <si>
    <t xml:space="preserve">VALERIE BURTON</t>
  </si>
  <si>
    <t xml:space="preserve">WRITE HERE NOW VENTURES LTD.</t>
  </si>
  <si>
    <t xml:space="preserve">BRIAN LANCE MACDONALD</t>
  </si>
  <si>
    <t xml:space="preserve">JOHN KENNETH RICCI</t>
  </si>
  <si>
    <t xml:space="preserve">ERIN WEISBROD</t>
  </si>
  <si>
    <t xml:space="preserve">DEAN ANDREW BURTON</t>
  </si>
  <si>
    <t xml:space="preserve">TAMARA MACPHERSON</t>
  </si>
  <si>
    <t xml:space="preserve">Note: Special warrants entitle holders to 1 common share on exercise for no additional consideration; subscription price was paid at issue.</t>
  </si>
  <si>
    <t xml:space="preserve">New Equity Raise — $2M @ $0.14</t>
  </si>
  <si>
    <t xml:space="preserve">Pricing &amp; sizing pulled from Inputs!B14:B17</t>
  </si>
  <si>
    <t xml:space="preserve">Round summary</t>
  </si>
  <si>
    <t xml:space="preserve">Target gross proceeds ($)</t>
  </si>
  <si>
    <t xml:space="preserve">Issue price per share ($)</t>
  </si>
  <si>
    <t xml:space="preserve">Shares to be issued</t>
  </si>
  <si>
    <t xml:space="preserve">Actual gross proceeds ($)</t>
  </si>
  <si>
    <t xml:space="preserve">Rounding gap ($)</t>
  </si>
  <si>
    <t xml:space="preserve">Allocation to new investors (placeholder rows — fill in once allocations are confirmed)</t>
  </si>
  <si>
    <t xml:space="preserve">New Investor (TBD)</t>
  </si>
  <si>
    <t xml:space="preserve">Subscription ($)</t>
  </si>
  <si>
    <t xml:space="preserve">Shares (= sub÷price)</t>
  </si>
  <si>
    <t xml:space="preserve">% of round</t>
  </si>
  <si>
    <t xml:space="preserve">[TBD]</t>
  </si>
  <si>
    <t xml:space="preserve">Allocated</t>
  </si>
  <si>
    <t xml:space="preserve">Unallocated</t>
  </si>
  <si>
    <t xml:space="preserve">Pro Forma Cap Table — Post-Conversion + New Raise</t>
  </si>
  <si>
    <t xml:space="preserve">Each column shows the share count at that stage. % columns recalc against the stage total.</t>
  </si>
  <si>
    <t xml:space="preserve">Class</t>
  </si>
  <si>
    <t xml:space="preserve">Pre-Raise Shares</t>
  </si>
  <si>
    <t xml:space="preserve">% (Pre)</t>
  </si>
  <si>
    <t xml:space="preserve">+ New Raise</t>
  </si>
  <si>
    <t xml:space="preserve">Pro Forma Shares</t>
  </si>
  <si>
    <t xml:space="preserve">% (Post)</t>
  </si>
  <si>
    <t xml:space="preserve">Founders (PPA + INCORP)</t>
  </si>
  <si>
    <t xml:space="preserve">Seed (PP @ $0.05)</t>
  </si>
  <si>
    <t xml:space="preserve">Investors (PP $0.10 / SFD)</t>
  </si>
  <si>
    <t xml:space="preserve">Warrants converted</t>
  </si>
  <si>
    <t xml:space="preserve">New Raise ($2M @ $0.14)</t>
  </si>
  <si>
    <t xml:space="preserve">TOTAL FULLY DILUTED</t>
  </si>
  <si>
    <t xml:space="preserve">Implied Valuation Snapshot</t>
  </si>
  <si>
    <t xml:space="preserve">Pre-money shares (post warrant conversion)</t>
  </si>
  <si>
    <t xml:space="preserve">New raise issue price ($)</t>
  </si>
  <si>
    <t xml:space="preserve">Pre-money valuation ($)</t>
  </si>
  <si>
    <t xml:space="preserve">New money in ($)</t>
  </si>
  <si>
    <t xml:space="preserve">Post-money valuation ($)</t>
  </si>
  <si>
    <t xml:space="preserve">New investors % of post</t>
  </si>
  <si>
    <t xml:space="preserve">Existing holders % of post (dilution)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</si>
</sst>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\$#,##0.00;&quot;($&quot;#,##0.00\);\-"/>
    <numFmt numFmtId="167" formatCode="0.00%;\(0.00%\);\-"/>
    <numFmt numFmtId="168" formatCode="\$#,##0;&quot;($&quot;#,##0\);\-"/>
    <numFmt numFmtId="169" formatCode="\$0.0000"/>
    <numFmt numFmtId="170" formatCode="[$$-1009]#,##0;[RED]\-[$$-1009]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AF1FB"/>
        <bgColor rgb="FFF2F7FB"/>
      </patternFill>
    </fill>
    <fill>
      <patternFill patternType="solid">
        <fgColor rgb="FFF2F7FB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10" fillId="5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10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5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0" fillId="5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13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1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13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13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13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3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10" fillId="5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B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B18" activeCellId="0" sqref="B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8"/>
  </cols>
  <sheetData>
    <row r="1" customFormat="false" ht="25.5" hidden="false" customHeight="true" outlineLevel="0" collapsed="false">
      <c r="A1" s="2" t="s">
        <v>0</v>
      </c>
      <c r="B1" s="2"/>
      <c r="C1" s="2"/>
    </row>
    <row r="2" customFormat="false" ht="18" hidden="false" customHeight="true" outlineLevel="0" collapsed="false">
      <c r="A2" s="3" t="s">
        <v>1</v>
      </c>
      <c r="B2" s="3"/>
      <c r="C2" s="3"/>
    </row>
    <row r="4" customFormat="false" ht="15" hidden="false" customHeight="false" outlineLevel="0" collapsed="false">
      <c r="A4" s="4" t="s">
        <v>2</v>
      </c>
      <c r="B4" s="4"/>
      <c r="C4" s="4"/>
    </row>
    <row r="5" customFormat="false" ht="23.85" hidden="false" customHeight="true" outlineLevel="0" collapsed="false">
      <c r="A5" s="5" t="s">
        <v>3</v>
      </c>
      <c r="B5" s="6" t="s">
        <v>4</v>
      </c>
      <c r="C5" s="6"/>
    </row>
    <row r="6" customFormat="false" ht="35.05" hidden="false" customHeight="true" outlineLevel="0" collapsed="false">
      <c r="A6" s="5" t="s">
        <v>5</v>
      </c>
      <c r="B6" s="6" t="s">
        <v>6</v>
      </c>
      <c r="C6" s="6"/>
    </row>
    <row r="7" customFormat="false" ht="23.85" hidden="false" customHeight="true" outlineLevel="0" collapsed="false">
      <c r="A7" s="5" t="s">
        <v>7</v>
      </c>
      <c r="B7" s="6" t="s">
        <v>8</v>
      </c>
      <c r="C7" s="6"/>
    </row>
    <row r="9" customFormat="false" ht="19.5" hidden="false" customHeight="true" outlineLevel="0" collapsed="false">
      <c r="A9" s="7" t="s">
        <v>9</v>
      </c>
      <c r="B9" s="7"/>
      <c r="C9" s="7"/>
    </row>
    <row r="10" customFormat="false" ht="15" hidden="false" customHeight="false" outlineLevel="0" collapsed="false">
      <c r="A10" s="8" t="s">
        <v>10</v>
      </c>
      <c r="B10" s="8" t="s">
        <v>11</v>
      </c>
      <c r="C10" s="8"/>
    </row>
    <row r="11" customFormat="false" ht="15" hidden="false" customHeight="false" outlineLevel="0" collapsed="false">
      <c r="A11" s="9" t="s">
        <v>12</v>
      </c>
      <c r="B11" s="10" t="n">
        <f aca="false">Founders!E8</f>
        <v>12000001</v>
      </c>
      <c r="C11" s="10"/>
    </row>
    <row r="12" customFormat="false" ht="15" hidden="false" customHeight="false" outlineLevel="0" collapsed="false">
      <c r="A12" s="11" t="s">
        <v>13</v>
      </c>
      <c r="B12" s="12" t="n">
        <f aca="false">Seed!E8</f>
        <v>2000000</v>
      </c>
      <c r="C12" s="12"/>
    </row>
    <row r="13" customFormat="false" ht="15" hidden="false" customHeight="false" outlineLevel="0" collapsed="false">
      <c r="A13" s="9" t="s">
        <v>14</v>
      </c>
      <c r="B13" s="10" t="n">
        <f aca="false">Investors!E182</f>
        <v>17912500</v>
      </c>
      <c r="C13" s="10"/>
    </row>
    <row r="14" customFormat="false" ht="15" hidden="false" customHeight="false" outlineLevel="0" collapsed="false">
      <c r="A14" s="13" t="s">
        <v>15</v>
      </c>
      <c r="B14" s="14" t="n">
        <f aca="false">B11+B12+B13</f>
        <v>31912501</v>
      </c>
      <c r="C14" s="14"/>
    </row>
    <row r="15" customFormat="false" ht="15" hidden="false" customHeight="false" outlineLevel="0" collapsed="false">
      <c r="A15" s="9" t="s">
        <v>16</v>
      </c>
      <c r="B15" s="10" t="n">
        <f aca="false">'Warrants Converted'!E58</f>
        <v>2687500</v>
      </c>
      <c r="C15" s="10"/>
    </row>
    <row r="16" customFormat="false" ht="15" hidden="false" customHeight="false" outlineLevel="0" collapsed="false">
      <c r="A16" s="13" t="s">
        <v>17</v>
      </c>
      <c r="B16" s="14" t="n">
        <f aca="false">B14+B15</f>
        <v>34600001</v>
      </c>
      <c r="C16" s="14"/>
    </row>
    <row r="17" customFormat="false" ht="15" hidden="false" customHeight="false" outlineLevel="0" collapsed="false">
      <c r="A17" s="9" t="s">
        <v>18</v>
      </c>
      <c r="B17" s="10" t="n">
        <f aca="false">Inputs!B16</f>
        <v>14285714</v>
      </c>
      <c r="C17" s="10"/>
    </row>
    <row r="18" customFormat="false" ht="15" hidden="false" customHeight="false" outlineLevel="0" collapsed="false">
      <c r="A18" s="13" t="s">
        <v>19</v>
      </c>
      <c r="B18" s="14" t="n">
        <f aca="false">B16+B17</f>
        <v>48885715</v>
      </c>
      <c r="C18" s="14"/>
    </row>
    <row r="19" customFormat="false" ht="15" hidden="false" customHeight="false" outlineLevel="0" collapsed="false">
      <c r="A19" s="9"/>
      <c r="B19" s="10"/>
      <c r="C19" s="10"/>
    </row>
    <row r="20" customFormat="false" ht="15" hidden="false" customHeight="false" outlineLevel="0" collapsed="false">
      <c r="A20" s="11" t="s">
        <v>20</v>
      </c>
      <c r="B20" s="15" t="n">
        <f aca="false">Seed!F8</f>
        <v>100000</v>
      </c>
      <c r="C20" s="15"/>
    </row>
    <row r="21" customFormat="false" ht="15" hidden="false" customHeight="false" outlineLevel="0" collapsed="false">
      <c r="A21" s="9" t="s">
        <v>21</v>
      </c>
      <c r="B21" s="16" t="n">
        <f aca="false">Investors!F182</f>
        <v>2151250</v>
      </c>
      <c r="C21" s="16"/>
    </row>
    <row r="22" customFormat="false" ht="15" hidden="false" customHeight="false" outlineLevel="0" collapsed="false">
      <c r="A22" s="11" t="s">
        <v>22</v>
      </c>
      <c r="B22" s="15" t="n">
        <f aca="false">'Warrants Converted'!F58</f>
        <v>308750</v>
      </c>
      <c r="C22" s="15"/>
    </row>
    <row r="23" customFormat="false" ht="15" hidden="false" customHeight="false" outlineLevel="0" collapsed="false">
      <c r="A23" s="9" t="s">
        <v>23</v>
      </c>
      <c r="B23" s="16" t="n">
        <f aca="false">Inputs!B17</f>
        <v>1999999.96</v>
      </c>
      <c r="C23" s="16"/>
    </row>
    <row r="24" customFormat="false" ht="15" hidden="false" customHeight="false" outlineLevel="0" collapsed="false">
      <c r="A24" s="13" t="s">
        <v>24</v>
      </c>
      <c r="B24" s="17" t="n">
        <f aca="false">B20+B21+B22+B23</f>
        <v>4559999.96</v>
      </c>
      <c r="C24" s="17"/>
    </row>
    <row r="25" customFormat="false" ht="22.35" hidden="false" customHeight="true" outlineLevel="0" collapsed="false">
      <c r="A25" s="18" t="s">
        <v>25</v>
      </c>
      <c r="B25" s="18"/>
      <c r="C25" s="18"/>
    </row>
    <row r="27" customFormat="false" ht="19.5" hidden="false" customHeight="true" outlineLevel="0" collapsed="false">
      <c r="A27" s="7" t="s">
        <v>26</v>
      </c>
      <c r="B27" s="7"/>
      <c r="C27" s="7"/>
    </row>
    <row r="28" customFormat="false" ht="15" hidden="false" customHeight="false" outlineLevel="0" collapsed="false">
      <c r="A28" s="9" t="s">
        <v>27</v>
      </c>
      <c r="B28" s="10" t="n">
        <f aca="false">B16</f>
        <v>34600001</v>
      </c>
      <c r="C28" s="10"/>
    </row>
    <row r="29" customFormat="false" ht="15" hidden="false" customHeight="false" outlineLevel="0" collapsed="false">
      <c r="A29" s="11" t="s">
        <v>28</v>
      </c>
      <c r="B29" s="15" t="n">
        <f aca="false">B16*Inputs!B15</f>
        <v>4844000.14</v>
      </c>
      <c r="C29" s="15"/>
    </row>
    <row r="30" customFormat="false" ht="15" hidden="false" customHeight="false" outlineLevel="0" collapsed="false">
      <c r="A30" s="9" t="s">
        <v>29</v>
      </c>
      <c r="B30" s="10" t="n">
        <f aca="false">B18</f>
        <v>48885715</v>
      </c>
      <c r="C30" s="10"/>
    </row>
    <row r="31" customFormat="false" ht="15" hidden="false" customHeight="false" outlineLevel="0" collapsed="false">
      <c r="A31" s="11" t="s">
        <v>30</v>
      </c>
      <c r="B31" s="15" t="n">
        <f aca="false">B18*Inputs!B15</f>
        <v>6844000.1</v>
      </c>
      <c r="C31" s="15"/>
    </row>
    <row r="32" customFormat="false" ht="15" hidden="false" customHeight="false" outlineLevel="0" collapsed="false">
      <c r="A32" s="9" t="s">
        <v>31</v>
      </c>
      <c r="B32" s="19" t="n">
        <f aca="false">Inputs!B16/B18</f>
        <v>0.292226757857587</v>
      </c>
      <c r="C32" s="19"/>
    </row>
    <row r="33" customFormat="false" ht="15" hidden="false" customHeight="false" outlineLevel="0" collapsed="false">
      <c r="A33" s="11" t="s">
        <v>32</v>
      </c>
      <c r="B33" s="20" t="n">
        <f aca="false">B16/B18</f>
        <v>0.707773242142413</v>
      </c>
      <c r="C33" s="20"/>
    </row>
  </sheetData>
  <mergeCells count="30">
    <mergeCell ref="A1:C1"/>
    <mergeCell ref="A2:C2"/>
    <mergeCell ref="A4:C4"/>
    <mergeCell ref="B5:C5"/>
    <mergeCell ref="B6:C6"/>
    <mergeCell ref="B7:C7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25:C25"/>
    <mergeCell ref="A27:C27"/>
    <mergeCell ref="B28:C28"/>
    <mergeCell ref="B29:C29"/>
    <mergeCell ref="B30:C30"/>
    <mergeCell ref="B31:C31"/>
    <mergeCell ref="B32:C32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28"/>
  </cols>
  <sheetData>
    <row r="1" customFormat="false" ht="25.5" hidden="false" customHeight="true" outlineLevel="0" collapsed="false">
      <c r="A1" s="2" t="s">
        <v>33</v>
      </c>
      <c r="B1" s="2"/>
      <c r="C1" s="2"/>
    </row>
    <row r="2" customFormat="false" ht="18" hidden="false" customHeight="true" outlineLevel="0" collapsed="false">
      <c r="A2" s="3" t="s">
        <v>34</v>
      </c>
      <c r="B2" s="3"/>
      <c r="C2" s="3"/>
    </row>
    <row r="4" customFormat="false" ht="15" hidden="false" customHeight="false" outlineLevel="0" collapsed="false">
      <c r="A4" s="21" t="s">
        <v>35</v>
      </c>
      <c r="B4" s="21" t="s">
        <v>36</v>
      </c>
      <c r="C4" s="21" t="s">
        <v>37</v>
      </c>
    </row>
    <row r="5" customFormat="false" ht="15" hidden="false" customHeight="false" outlineLevel="0" collapsed="false">
      <c r="A5" s="9" t="s">
        <v>38</v>
      </c>
      <c r="B5" s="22" t="s">
        <v>39</v>
      </c>
      <c r="C5" s="23" t="s">
        <v>40</v>
      </c>
    </row>
    <row r="6" customFormat="false" ht="15" hidden="false" customHeight="false" outlineLevel="0" collapsed="false">
      <c r="A6" s="11" t="s">
        <v>41</v>
      </c>
      <c r="B6" s="24" t="n">
        <v>31912501</v>
      </c>
      <c r="C6" s="25" t="s">
        <v>42</v>
      </c>
    </row>
    <row r="7" customFormat="false" ht="15" hidden="false" customHeight="false" outlineLevel="0" collapsed="false">
      <c r="A7" s="9" t="s">
        <v>43</v>
      </c>
      <c r="B7" s="26" t="n">
        <v>12000001</v>
      </c>
      <c r="C7" s="23" t="s">
        <v>44</v>
      </c>
    </row>
    <row r="8" customFormat="false" ht="15" hidden="false" customHeight="false" outlineLevel="0" collapsed="false">
      <c r="A8" s="11" t="s">
        <v>45</v>
      </c>
      <c r="B8" s="24" t="n">
        <v>2000000</v>
      </c>
      <c r="C8" s="25" t="s">
        <v>46</v>
      </c>
    </row>
    <row r="9" customFormat="false" ht="15" hidden="false" customHeight="false" outlineLevel="0" collapsed="false">
      <c r="A9" s="9" t="s">
        <v>47</v>
      </c>
      <c r="B9" s="26" t="n">
        <v>17912500</v>
      </c>
      <c r="C9" s="23" t="s">
        <v>48</v>
      </c>
    </row>
    <row r="10" customFormat="false" ht="15" hidden="false" customHeight="false" outlineLevel="0" collapsed="false">
      <c r="A10" s="11" t="s">
        <v>49</v>
      </c>
      <c r="B10" s="24" t="n">
        <v>2587500</v>
      </c>
      <c r="C10" s="25" t="s">
        <v>50</v>
      </c>
    </row>
    <row r="11" customFormat="false" ht="15" hidden="false" customHeight="false" outlineLevel="0" collapsed="false">
      <c r="A11" s="9" t="s">
        <v>51</v>
      </c>
      <c r="B11" s="26" t="n">
        <v>100000</v>
      </c>
      <c r="C11" s="23" t="s">
        <v>52</v>
      </c>
    </row>
    <row r="12" customFormat="false" ht="15" hidden="false" customHeight="false" outlineLevel="0" collapsed="false">
      <c r="A12" s="11" t="s">
        <v>53</v>
      </c>
      <c r="B12" s="24" t="n">
        <v>2687500</v>
      </c>
      <c r="C12" s="25" t="s">
        <v>54</v>
      </c>
    </row>
    <row r="13" customFormat="false" ht="15" hidden="false" customHeight="false" outlineLevel="0" collapsed="false">
      <c r="A13" s="9"/>
      <c r="B13" s="22"/>
      <c r="C13" s="23"/>
    </row>
    <row r="14" customFormat="false" ht="15" hidden="false" customHeight="false" outlineLevel="0" collapsed="false">
      <c r="A14" s="11" t="s">
        <v>55</v>
      </c>
      <c r="B14" s="27" t="n">
        <v>2000000</v>
      </c>
      <c r="C14" s="25" t="s">
        <v>56</v>
      </c>
    </row>
    <row r="15" customFormat="false" ht="15" hidden="false" customHeight="false" outlineLevel="0" collapsed="false">
      <c r="A15" s="9" t="s">
        <v>57</v>
      </c>
      <c r="B15" s="28" t="n">
        <v>0.14</v>
      </c>
      <c r="C15" s="23" t="s">
        <v>58</v>
      </c>
    </row>
    <row r="16" customFormat="false" ht="15" hidden="false" customHeight="false" outlineLevel="0" collapsed="false">
      <c r="A16" s="11" t="s">
        <v>59</v>
      </c>
      <c r="B16" s="29" t="n">
        <f aca="false">ROUND(B14/B15,0)</f>
        <v>14285714</v>
      </c>
      <c r="C16" s="25" t="s">
        <v>60</v>
      </c>
    </row>
    <row r="17" customFormat="false" ht="15" hidden="false" customHeight="false" outlineLevel="0" collapsed="false">
      <c r="A17" s="9" t="s">
        <v>61</v>
      </c>
      <c r="B17" s="30" t="n">
        <f aca="false">B16*B15</f>
        <v>1999999.96</v>
      </c>
      <c r="C17" s="23" t="s">
        <v>62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17" activeCellId="0" sqref="D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4" min="3" style="1" width="14"/>
    <col collapsed="false" customWidth="true" hidden="false" outlineLevel="0" max="6" min="5" style="1" width="16"/>
    <col collapsed="false" customWidth="true" hidden="false" outlineLevel="0" max="7" min="7" style="1" width="14"/>
  </cols>
  <sheetData>
    <row r="1" customFormat="false" ht="25.5" hidden="false" customHeight="true" outlineLevel="0" collapsed="false">
      <c r="A1" s="2" t="s">
        <v>63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64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8" t="s">
        <v>65</v>
      </c>
      <c r="B4" s="8" t="s">
        <v>66</v>
      </c>
      <c r="C4" s="8" t="s">
        <v>67</v>
      </c>
      <c r="D4" s="8" t="s">
        <v>68</v>
      </c>
      <c r="E4" s="8" t="s">
        <v>69</v>
      </c>
      <c r="F4" s="8" t="s">
        <v>70</v>
      </c>
      <c r="G4" s="8" t="s">
        <v>71</v>
      </c>
    </row>
    <row r="5" customFormat="false" ht="15" hidden="false" customHeight="false" outlineLevel="0" collapsed="false">
      <c r="A5" s="31" t="n">
        <v>1</v>
      </c>
      <c r="B5" s="32" t="s">
        <v>72</v>
      </c>
      <c r="C5" s="31" t="s">
        <v>73</v>
      </c>
      <c r="D5" s="33" t="n">
        <v>1</v>
      </c>
      <c r="E5" s="34" t="n">
        <v>1</v>
      </c>
      <c r="F5" s="35" t="n">
        <f aca="false">D5*E5</f>
        <v>1</v>
      </c>
      <c r="G5" s="36" t="n">
        <f aca="false">E5/$E$8</f>
        <v>8.33333263888895E-008</v>
      </c>
    </row>
    <row r="6" customFormat="false" ht="15" hidden="false" customHeight="false" outlineLevel="0" collapsed="false">
      <c r="A6" s="37" t="n">
        <v>2</v>
      </c>
      <c r="B6" s="38" t="s">
        <v>74</v>
      </c>
      <c r="C6" s="37" t="s">
        <v>75</v>
      </c>
      <c r="D6" s="39" t="n">
        <v>0.5</v>
      </c>
      <c r="E6" s="40" t="n">
        <v>6000000</v>
      </c>
      <c r="F6" s="41" t="n">
        <f aca="false">D6*E6</f>
        <v>3000000</v>
      </c>
      <c r="G6" s="42" t="n">
        <f aca="false">E6/$E$8</f>
        <v>0.499999958333337</v>
      </c>
    </row>
    <row r="7" customFormat="false" ht="15" hidden="false" customHeight="false" outlineLevel="0" collapsed="false">
      <c r="A7" s="31" t="n">
        <v>3</v>
      </c>
      <c r="B7" s="32" t="s">
        <v>76</v>
      </c>
      <c r="C7" s="31" t="s">
        <v>75</v>
      </c>
      <c r="D7" s="33" t="n">
        <v>0.5</v>
      </c>
      <c r="E7" s="34" t="n">
        <v>6000000</v>
      </c>
      <c r="F7" s="35" t="n">
        <f aca="false">D7*E7</f>
        <v>3000000</v>
      </c>
      <c r="G7" s="36" t="n">
        <f aca="false">E7/$E$8</f>
        <v>0.499999958333337</v>
      </c>
    </row>
    <row r="8" customFormat="false" ht="15" hidden="false" customHeight="false" outlineLevel="0" collapsed="false">
      <c r="A8" s="43"/>
      <c r="B8" s="44" t="s">
        <v>77</v>
      </c>
      <c r="C8" s="43"/>
      <c r="D8" s="43"/>
      <c r="E8" s="45" t="n">
        <f aca="false">SUM(E5:E7)</f>
        <v>12000001</v>
      </c>
      <c r="F8" s="46" t="n">
        <f aca="false">SUM(F5:F7)</f>
        <v>6000001</v>
      </c>
      <c r="G8" s="47" t="n">
        <f aca="false">SUM(G5:G7)</f>
        <v>1</v>
      </c>
    </row>
    <row r="10" customFormat="false" ht="15" hidden="false" customHeight="false" outlineLevel="0" collapsed="false">
      <c r="A10" s="5" t="s">
        <v>78</v>
      </c>
    </row>
    <row r="11" customFormat="false" ht="15" hidden="false" customHeight="true" outlineLevel="0" collapsed="false">
      <c r="A11" s="18" t="s">
        <v>79</v>
      </c>
      <c r="B11" s="18"/>
      <c r="C11" s="18"/>
      <c r="D11" s="18"/>
      <c r="E11" s="18"/>
      <c r="F11" s="18"/>
      <c r="G11" s="18"/>
    </row>
  </sheetData>
  <mergeCells count="3">
    <mergeCell ref="A1:G1"/>
    <mergeCell ref="A2:G2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4" min="3" style="1" width="14"/>
    <col collapsed="false" customWidth="true" hidden="false" outlineLevel="0" max="6" min="5" style="1" width="16"/>
    <col collapsed="false" customWidth="true" hidden="false" outlineLevel="0" max="7" min="7" style="1" width="14"/>
  </cols>
  <sheetData>
    <row r="1" customFormat="false" ht="25.5" hidden="false" customHeight="true" outlineLevel="0" collapsed="false">
      <c r="A1" s="2" t="s">
        <v>80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81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8" t="s">
        <v>65</v>
      </c>
      <c r="B4" s="8" t="s">
        <v>66</v>
      </c>
      <c r="C4" s="8" t="s">
        <v>67</v>
      </c>
      <c r="D4" s="8" t="s">
        <v>68</v>
      </c>
      <c r="E4" s="8" t="s">
        <v>69</v>
      </c>
      <c r="F4" s="8" t="s">
        <v>70</v>
      </c>
      <c r="G4" s="8" t="s">
        <v>71</v>
      </c>
    </row>
    <row r="5" customFormat="false" ht="15" hidden="false" customHeight="false" outlineLevel="0" collapsed="false">
      <c r="A5" s="31" t="n">
        <v>1</v>
      </c>
      <c r="B5" s="32" t="s">
        <v>72</v>
      </c>
      <c r="C5" s="31" t="s">
        <v>82</v>
      </c>
      <c r="D5" s="33" t="n">
        <v>0.05</v>
      </c>
      <c r="E5" s="34" t="n">
        <v>1400000</v>
      </c>
      <c r="F5" s="35" t="n">
        <f aca="false">D5*E5</f>
        <v>70000</v>
      </c>
      <c r="G5" s="36" t="n">
        <f aca="false">E5/$E$8</f>
        <v>0.7</v>
      </c>
    </row>
    <row r="6" customFormat="false" ht="15" hidden="false" customHeight="false" outlineLevel="0" collapsed="false">
      <c r="A6" s="37" t="n">
        <v>2</v>
      </c>
      <c r="B6" s="38" t="s">
        <v>83</v>
      </c>
      <c r="C6" s="37" t="s">
        <v>82</v>
      </c>
      <c r="D6" s="39" t="n">
        <v>0.05</v>
      </c>
      <c r="E6" s="40" t="n">
        <v>400000</v>
      </c>
      <c r="F6" s="41" t="n">
        <f aca="false">D6*E6</f>
        <v>20000</v>
      </c>
      <c r="G6" s="42" t="n">
        <f aca="false">E6/$E$8</f>
        <v>0.2</v>
      </c>
    </row>
    <row r="7" customFormat="false" ht="15" hidden="false" customHeight="false" outlineLevel="0" collapsed="false">
      <c r="A7" s="31" t="n">
        <v>3</v>
      </c>
      <c r="B7" s="32" t="s">
        <v>84</v>
      </c>
      <c r="C7" s="31" t="s">
        <v>82</v>
      </c>
      <c r="D7" s="33" t="n">
        <v>0.05</v>
      </c>
      <c r="E7" s="34" t="n">
        <v>200000</v>
      </c>
      <c r="F7" s="35" t="n">
        <f aca="false">D7*E7</f>
        <v>10000</v>
      </c>
      <c r="G7" s="36" t="n">
        <f aca="false">E7/$E$8</f>
        <v>0.1</v>
      </c>
    </row>
    <row r="8" customFormat="false" ht="15" hidden="false" customHeight="false" outlineLevel="0" collapsed="false">
      <c r="A8" s="43"/>
      <c r="B8" s="44" t="s">
        <v>77</v>
      </c>
      <c r="C8" s="43"/>
      <c r="D8" s="43"/>
      <c r="E8" s="45" t="n">
        <f aca="false">SUM(E5:E7)</f>
        <v>2000000</v>
      </c>
      <c r="F8" s="46" t="n">
        <f aca="false">SUM(F5:F7)</f>
        <v>100000</v>
      </c>
      <c r="G8" s="47" t="n">
        <f aca="false">SUM(G5:G7)</f>
        <v>1</v>
      </c>
    </row>
    <row r="10" customFormat="false" ht="15" hidden="false" customHeight="false" outlineLevel="0" collapsed="false">
      <c r="A10" s="5" t="s">
        <v>78</v>
      </c>
    </row>
    <row r="11" customFormat="false" ht="15" hidden="false" customHeight="true" outlineLevel="0" collapsed="false">
      <c r="A11" s="18" t="s">
        <v>85</v>
      </c>
      <c r="B11" s="18"/>
      <c r="C11" s="18"/>
      <c r="D11" s="18"/>
      <c r="E11" s="18"/>
      <c r="F11" s="18"/>
      <c r="G11" s="18"/>
    </row>
  </sheetData>
  <mergeCells count="3">
    <mergeCell ref="A1:G1"/>
    <mergeCell ref="A2:G2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67" activePane="bottomLeft" state="frozen"/>
      <selection pane="topLeft" activeCell="A1" activeCellId="0" sqref="A1"/>
      <selection pane="bottomLeft" activeCell="F182" activeCellId="0" sqref="F18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4" min="3" style="1" width="14"/>
    <col collapsed="false" customWidth="true" hidden="false" outlineLevel="0" max="6" min="5" style="1" width="16"/>
    <col collapsed="false" customWidth="true" hidden="false" outlineLevel="0" max="7" min="7" style="1" width="14"/>
  </cols>
  <sheetData>
    <row r="1" customFormat="false" ht="25.5" hidden="false" customHeight="true" outlineLevel="0" collapsed="false">
      <c r="A1" s="2" t="s">
        <v>86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87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8" t="s">
        <v>65</v>
      </c>
      <c r="B4" s="8" t="s">
        <v>66</v>
      </c>
      <c r="C4" s="8" t="s">
        <v>67</v>
      </c>
      <c r="D4" s="8" t="s">
        <v>68</v>
      </c>
      <c r="E4" s="8" t="s">
        <v>69</v>
      </c>
      <c r="F4" s="8" t="s">
        <v>70</v>
      </c>
      <c r="G4" s="8" t="s">
        <v>71</v>
      </c>
    </row>
    <row r="5" customFormat="false" ht="15" hidden="false" customHeight="false" outlineLevel="0" collapsed="false">
      <c r="A5" s="31" t="n">
        <v>1</v>
      </c>
      <c r="B5" s="32" t="s">
        <v>88</v>
      </c>
      <c r="C5" s="31" t="s">
        <v>82</v>
      </c>
      <c r="D5" s="33" t="n">
        <v>0.1</v>
      </c>
      <c r="E5" s="34" t="n">
        <v>25000</v>
      </c>
      <c r="F5" s="35" t="n">
        <f aca="false">D5*E5</f>
        <v>2500</v>
      </c>
      <c r="G5" s="36" t="n">
        <f aca="false">E5/$E$182</f>
        <v>0.00139567341242149</v>
      </c>
    </row>
    <row r="6" customFormat="false" ht="15" hidden="false" customHeight="false" outlineLevel="0" collapsed="false">
      <c r="A6" s="37" t="n">
        <v>2</v>
      </c>
      <c r="B6" s="38" t="s">
        <v>89</v>
      </c>
      <c r="C6" s="37" t="s">
        <v>82</v>
      </c>
      <c r="D6" s="39" t="n">
        <v>0.1</v>
      </c>
      <c r="E6" s="40" t="n">
        <v>30000</v>
      </c>
      <c r="F6" s="41" t="n">
        <f aca="false">D6*E6</f>
        <v>3000</v>
      </c>
      <c r="G6" s="42" t="n">
        <f aca="false">E6/$E$182</f>
        <v>0.00167480809490579</v>
      </c>
    </row>
    <row r="7" customFormat="false" ht="15" hidden="false" customHeight="false" outlineLevel="0" collapsed="false">
      <c r="A7" s="31" t="n">
        <v>3</v>
      </c>
      <c r="B7" s="32" t="s">
        <v>90</v>
      </c>
      <c r="C7" s="31" t="s">
        <v>82</v>
      </c>
      <c r="D7" s="33" t="n">
        <v>0.1</v>
      </c>
      <c r="E7" s="34" t="n">
        <v>50000</v>
      </c>
      <c r="F7" s="35" t="n">
        <f aca="false">D7*E7</f>
        <v>5000</v>
      </c>
      <c r="G7" s="36" t="n">
        <f aca="false">E7/$E$182</f>
        <v>0.00279134682484299</v>
      </c>
    </row>
    <row r="8" customFormat="false" ht="15" hidden="false" customHeight="false" outlineLevel="0" collapsed="false">
      <c r="A8" s="37" t="n">
        <v>4</v>
      </c>
      <c r="B8" s="38" t="s">
        <v>91</v>
      </c>
      <c r="C8" s="37" t="s">
        <v>82</v>
      </c>
      <c r="D8" s="39" t="n">
        <v>0.1</v>
      </c>
      <c r="E8" s="40" t="n">
        <v>5000</v>
      </c>
      <c r="F8" s="41" t="n">
        <f aca="false">D8*E8</f>
        <v>500</v>
      </c>
      <c r="G8" s="42" t="n">
        <f aca="false">E8/$E$182</f>
        <v>0.000279134682484299</v>
      </c>
    </row>
    <row r="9" customFormat="false" ht="15" hidden="false" customHeight="false" outlineLevel="0" collapsed="false">
      <c r="A9" s="31" t="n">
        <v>5</v>
      </c>
      <c r="B9" s="32" t="s">
        <v>92</v>
      </c>
      <c r="C9" s="31" t="s">
        <v>82</v>
      </c>
      <c r="D9" s="33" t="n">
        <v>0.1</v>
      </c>
      <c r="E9" s="34" t="n">
        <v>4000</v>
      </c>
      <c r="F9" s="35" t="n">
        <f aca="false">D9*E9</f>
        <v>400</v>
      </c>
      <c r="G9" s="36" t="n">
        <f aca="false">E9/$E$182</f>
        <v>0.000223307745987439</v>
      </c>
    </row>
    <row r="10" customFormat="false" ht="15" hidden="false" customHeight="false" outlineLevel="0" collapsed="false">
      <c r="A10" s="37" t="n">
        <v>6</v>
      </c>
      <c r="B10" s="38" t="s">
        <v>93</v>
      </c>
      <c r="C10" s="37" t="s">
        <v>82</v>
      </c>
      <c r="D10" s="39" t="n">
        <v>0.1</v>
      </c>
      <c r="E10" s="40" t="n">
        <v>4000</v>
      </c>
      <c r="F10" s="41" t="n">
        <f aca="false">D10*E10</f>
        <v>400</v>
      </c>
      <c r="G10" s="42" t="n">
        <f aca="false">E10/$E$182</f>
        <v>0.000223307745987439</v>
      </c>
    </row>
    <row r="11" customFormat="false" ht="15" hidden="false" customHeight="false" outlineLevel="0" collapsed="false">
      <c r="A11" s="31" t="n">
        <v>7</v>
      </c>
      <c r="B11" s="32" t="s">
        <v>94</v>
      </c>
      <c r="C11" s="31" t="s">
        <v>82</v>
      </c>
      <c r="D11" s="33" t="n">
        <v>0.1</v>
      </c>
      <c r="E11" s="34" t="n">
        <v>4000</v>
      </c>
      <c r="F11" s="35" t="n">
        <f aca="false">D11*E11</f>
        <v>400</v>
      </c>
      <c r="G11" s="36" t="n">
        <f aca="false">E11/$E$182</f>
        <v>0.000223307745987439</v>
      </c>
    </row>
    <row r="12" customFormat="false" ht="15" hidden="false" customHeight="false" outlineLevel="0" collapsed="false">
      <c r="A12" s="37" t="n">
        <v>8</v>
      </c>
      <c r="B12" s="38" t="s">
        <v>95</v>
      </c>
      <c r="C12" s="37" t="s">
        <v>82</v>
      </c>
      <c r="D12" s="39" t="n">
        <v>0.1</v>
      </c>
      <c r="E12" s="40" t="n">
        <v>100000</v>
      </c>
      <c r="F12" s="41" t="n">
        <f aca="false">D12*E12</f>
        <v>10000</v>
      </c>
      <c r="G12" s="42" t="n">
        <f aca="false">E12/$E$182</f>
        <v>0.00558269364968597</v>
      </c>
    </row>
    <row r="13" customFormat="false" ht="15" hidden="false" customHeight="false" outlineLevel="0" collapsed="false">
      <c r="A13" s="31" t="n">
        <v>9</v>
      </c>
      <c r="B13" s="32" t="s">
        <v>96</v>
      </c>
      <c r="C13" s="31" t="s">
        <v>82</v>
      </c>
      <c r="D13" s="33" t="n">
        <v>0.1</v>
      </c>
      <c r="E13" s="34" t="n">
        <v>70000</v>
      </c>
      <c r="F13" s="35" t="n">
        <f aca="false">D13*E13</f>
        <v>7000</v>
      </c>
      <c r="G13" s="36" t="n">
        <f aca="false">E13/$E$182</f>
        <v>0.00390788555478018</v>
      </c>
    </row>
    <row r="14" customFormat="false" ht="15" hidden="false" customHeight="false" outlineLevel="0" collapsed="false">
      <c r="A14" s="37" t="n">
        <v>10</v>
      </c>
      <c r="B14" s="38" t="s">
        <v>97</v>
      </c>
      <c r="C14" s="37" t="s">
        <v>82</v>
      </c>
      <c r="D14" s="39" t="n">
        <v>0.1</v>
      </c>
      <c r="E14" s="40" t="n">
        <v>4000</v>
      </c>
      <c r="F14" s="41" t="n">
        <f aca="false">D14*E14</f>
        <v>400</v>
      </c>
      <c r="G14" s="42" t="n">
        <f aca="false">E14/$E$182</f>
        <v>0.000223307745987439</v>
      </c>
    </row>
    <row r="15" customFormat="false" ht="15" hidden="false" customHeight="false" outlineLevel="0" collapsed="false">
      <c r="A15" s="31" t="n">
        <v>11</v>
      </c>
      <c r="B15" s="32" t="s">
        <v>98</v>
      </c>
      <c r="C15" s="31" t="s">
        <v>82</v>
      </c>
      <c r="D15" s="33" t="n">
        <v>0.1</v>
      </c>
      <c r="E15" s="34" t="n">
        <v>4000</v>
      </c>
      <c r="F15" s="35" t="n">
        <f aca="false">D15*E15</f>
        <v>400</v>
      </c>
      <c r="G15" s="36" t="n">
        <f aca="false">E15/$E$182</f>
        <v>0.000223307745987439</v>
      </c>
    </row>
    <row r="16" customFormat="false" ht="15" hidden="false" customHeight="false" outlineLevel="0" collapsed="false">
      <c r="A16" s="37" t="n">
        <v>12</v>
      </c>
      <c r="B16" s="38" t="s">
        <v>99</v>
      </c>
      <c r="C16" s="37" t="s">
        <v>82</v>
      </c>
      <c r="D16" s="39" t="n">
        <v>0.1</v>
      </c>
      <c r="E16" s="40" t="n">
        <v>4000</v>
      </c>
      <c r="F16" s="41" t="n">
        <f aca="false">D16*E16</f>
        <v>400</v>
      </c>
      <c r="G16" s="42" t="n">
        <f aca="false">E16/$E$182</f>
        <v>0.000223307745987439</v>
      </c>
    </row>
    <row r="17" customFormat="false" ht="15" hidden="false" customHeight="false" outlineLevel="0" collapsed="false">
      <c r="A17" s="31" t="n">
        <v>13</v>
      </c>
      <c r="B17" s="32" t="s">
        <v>100</v>
      </c>
      <c r="C17" s="31" t="s">
        <v>82</v>
      </c>
      <c r="D17" s="33" t="n">
        <v>0.1</v>
      </c>
      <c r="E17" s="34" t="n">
        <v>5000</v>
      </c>
      <c r="F17" s="35" t="n">
        <f aca="false">D17*E17</f>
        <v>500</v>
      </c>
      <c r="G17" s="36" t="n">
        <f aca="false">E17/$E$182</f>
        <v>0.000279134682484299</v>
      </c>
    </row>
    <row r="18" customFormat="false" ht="15" hidden="false" customHeight="false" outlineLevel="0" collapsed="false">
      <c r="A18" s="37" t="n">
        <v>14</v>
      </c>
      <c r="B18" s="38" t="s">
        <v>101</v>
      </c>
      <c r="C18" s="37" t="s">
        <v>82</v>
      </c>
      <c r="D18" s="39" t="n">
        <v>0.1</v>
      </c>
      <c r="E18" s="40" t="n">
        <v>5000</v>
      </c>
      <c r="F18" s="41" t="n">
        <f aca="false">D18*E18</f>
        <v>500</v>
      </c>
      <c r="G18" s="42" t="n">
        <f aca="false">E18/$E$182</f>
        <v>0.000279134682484299</v>
      </c>
    </row>
    <row r="19" customFormat="false" ht="15" hidden="false" customHeight="false" outlineLevel="0" collapsed="false">
      <c r="A19" s="31" t="n">
        <v>15</v>
      </c>
      <c r="B19" s="32" t="s">
        <v>102</v>
      </c>
      <c r="C19" s="31" t="s">
        <v>82</v>
      </c>
      <c r="D19" s="33" t="n">
        <v>0.1</v>
      </c>
      <c r="E19" s="34" t="n">
        <v>15000</v>
      </c>
      <c r="F19" s="35" t="n">
        <f aca="false">D19*E19</f>
        <v>1500</v>
      </c>
      <c r="G19" s="36" t="n">
        <f aca="false">E19/$E$182</f>
        <v>0.000837404047452896</v>
      </c>
    </row>
    <row r="20" customFormat="false" ht="15" hidden="false" customHeight="false" outlineLevel="0" collapsed="false">
      <c r="A20" s="37" t="n">
        <v>16</v>
      </c>
      <c r="B20" s="38" t="s">
        <v>103</v>
      </c>
      <c r="C20" s="37" t="s">
        <v>82</v>
      </c>
      <c r="D20" s="39" t="n">
        <v>0.1</v>
      </c>
      <c r="E20" s="40" t="n">
        <v>10000</v>
      </c>
      <c r="F20" s="41" t="n">
        <f aca="false">D20*E20</f>
        <v>1000</v>
      </c>
      <c r="G20" s="42" t="n">
        <f aca="false">E20/$E$182</f>
        <v>0.000558269364968597</v>
      </c>
    </row>
    <row r="21" customFormat="false" ht="15" hidden="false" customHeight="false" outlineLevel="0" collapsed="false">
      <c r="A21" s="31" t="n">
        <v>17</v>
      </c>
      <c r="B21" s="32" t="s">
        <v>104</v>
      </c>
      <c r="C21" s="31" t="s">
        <v>82</v>
      </c>
      <c r="D21" s="33" t="n">
        <v>0.1</v>
      </c>
      <c r="E21" s="34" t="n">
        <v>10000</v>
      </c>
      <c r="F21" s="35" t="n">
        <f aca="false">D21*E21</f>
        <v>1000</v>
      </c>
      <c r="G21" s="36" t="n">
        <f aca="false">E21/$E$182</f>
        <v>0.000558269364968597</v>
      </c>
    </row>
    <row r="22" customFormat="false" ht="15" hidden="false" customHeight="false" outlineLevel="0" collapsed="false">
      <c r="A22" s="37" t="n">
        <v>18</v>
      </c>
      <c r="B22" s="38" t="s">
        <v>105</v>
      </c>
      <c r="C22" s="37" t="s">
        <v>82</v>
      </c>
      <c r="D22" s="39" t="n">
        <v>0.1</v>
      </c>
      <c r="E22" s="40" t="n">
        <v>25000</v>
      </c>
      <c r="F22" s="41" t="n">
        <f aca="false">D22*E22</f>
        <v>2500</v>
      </c>
      <c r="G22" s="42" t="n">
        <f aca="false">E22/$E$182</f>
        <v>0.00139567341242149</v>
      </c>
    </row>
    <row r="23" customFormat="false" ht="15" hidden="false" customHeight="false" outlineLevel="0" collapsed="false">
      <c r="A23" s="31" t="n">
        <v>19</v>
      </c>
      <c r="B23" s="32" t="s">
        <v>106</v>
      </c>
      <c r="C23" s="31" t="s">
        <v>82</v>
      </c>
      <c r="D23" s="33" t="n">
        <v>0.1</v>
      </c>
      <c r="E23" s="34" t="n">
        <v>2000</v>
      </c>
      <c r="F23" s="35" t="n">
        <f aca="false">D23*E23</f>
        <v>200</v>
      </c>
      <c r="G23" s="36" t="n">
        <f aca="false">E23/$E$182</f>
        <v>0.000111653872993719</v>
      </c>
    </row>
    <row r="24" customFormat="false" ht="23.85" hidden="false" customHeight="false" outlineLevel="0" collapsed="false">
      <c r="A24" s="37" t="n">
        <v>20</v>
      </c>
      <c r="B24" s="38" t="s">
        <v>107</v>
      </c>
      <c r="C24" s="37" t="s">
        <v>82</v>
      </c>
      <c r="D24" s="39" t="n">
        <v>0.1</v>
      </c>
      <c r="E24" s="40" t="n">
        <v>400000</v>
      </c>
      <c r="F24" s="41" t="n">
        <f aca="false">D24*E24</f>
        <v>40000</v>
      </c>
      <c r="G24" s="42" t="n">
        <f aca="false">E24/$E$182</f>
        <v>0.0223307745987439</v>
      </c>
    </row>
    <row r="25" customFormat="false" ht="15" hidden="false" customHeight="false" outlineLevel="0" collapsed="false">
      <c r="A25" s="31" t="n">
        <v>21</v>
      </c>
      <c r="B25" s="32" t="s">
        <v>108</v>
      </c>
      <c r="C25" s="31" t="s">
        <v>82</v>
      </c>
      <c r="D25" s="33" t="n">
        <v>0.1</v>
      </c>
      <c r="E25" s="34" t="n">
        <v>100000</v>
      </c>
      <c r="F25" s="35" t="n">
        <f aca="false">D25*E25</f>
        <v>10000</v>
      </c>
      <c r="G25" s="36" t="n">
        <f aca="false">E25/$E$182</f>
        <v>0.00558269364968597</v>
      </c>
    </row>
    <row r="26" customFormat="false" ht="15" hidden="false" customHeight="false" outlineLevel="0" collapsed="false">
      <c r="A26" s="37" t="n">
        <v>22</v>
      </c>
      <c r="B26" s="38" t="s">
        <v>109</v>
      </c>
      <c r="C26" s="37" t="s">
        <v>82</v>
      </c>
      <c r="D26" s="39" t="n">
        <v>0.1</v>
      </c>
      <c r="E26" s="40" t="n">
        <v>50000</v>
      </c>
      <c r="F26" s="41" t="n">
        <f aca="false">D26*E26</f>
        <v>5000</v>
      </c>
      <c r="G26" s="42" t="n">
        <f aca="false">E26/$E$182</f>
        <v>0.00279134682484299</v>
      </c>
    </row>
    <row r="27" customFormat="false" ht="15" hidden="false" customHeight="false" outlineLevel="0" collapsed="false">
      <c r="A27" s="31" t="n">
        <v>23</v>
      </c>
      <c r="B27" s="32" t="s">
        <v>110</v>
      </c>
      <c r="C27" s="31" t="s">
        <v>82</v>
      </c>
      <c r="D27" s="33" t="n">
        <v>0.1</v>
      </c>
      <c r="E27" s="34" t="n">
        <v>15000</v>
      </c>
      <c r="F27" s="35" t="n">
        <f aca="false">D27*E27</f>
        <v>1500</v>
      </c>
      <c r="G27" s="36" t="n">
        <f aca="false">E27/$E$182</f>
        <v>0.000837404047452896</v>
      </c>
    </row>
    <row r="28" customFormat="false" ht="15" hidden="false" customHeight="false" outlineLevel="0" collapsed="false">
      <c r="A28" s="37" t="n">
        <v>24</v>
      </c>
      <c r="B28" s="38" t="s">
        <v>111</v>
      </c>
      <c r="C28" s="37" t="s">
        <v>82</v>
      </c>
      <c r="D28" s="39" t="n">
        <v>0.1</v>
      </c>
      <c r="E28" s="40" t="n">
        <v>10000</v>
      </c>
      <c r="F28" s="41" t="n">
        <f aca="false">D28*E28</f>
        <v>1000</v>
      </c>
      <c r="G28" s="42" t="n">
        <f aca="false">E28/$E$182</f>
        <v>0.000558269364968597</v>
      </c>
    </row>
    <row r="29" customFormat="false" ht="15" hidden="false" customHeight="false" outlineLevel="0" collapsed="false">
      <c r="A29" s="31" t="n">
        <v>25</v>
      </c>
      <c r="B29" s="32" t="s">
        <v>112</v>
      </c>
      <c r="C29" s="31" t="s">
        <v>82</v>
      </c>
      <c r="D29" s="33" t="n">
        <v>0.1</v>
      </c>
      <c r="E29" s="34" t="n">
        <v>50000</v>
      </c>
      <c r="F29" s="35" t="n">
        <f aca="false">D29*E29</f>
        <v>5000</v>
      </c>
      <c r="G29" s="36" t="n">
        <f aca="false">E29/$E$182</f>
        <v>0.00279134682484299</v>
      </c>
    </row>
    <row r="30" customFormat="false" ht="15" hidden="false" customHeight="false" outlineLevel="0" collapsed="false">
      <c r="A30" s="37" t="n">
        <v>26</v>
      </c>
      <c r="B30" s="38" t="s">
        <v>113</v>
      </c>
      <c r="C30" s="37" t="s">
        <v>82</v>
      </c>
      <c r="D30" s="39" t="n">
        <v>0.1</v>
      </c>
      <c r="E30" s="40" t="n">
        <v>5000</v>
      </c>
      <c r="F30" s="41" t="n">
        <f aca="false">D30*E30</f>
        <v>500</v>
      </c>
      <c r="G30" s="42" t="n">
        <f aca="false">E30/$E$182</f>
        <v>0.000279134682484299</v>
      </c>
    </row>
    <row r="31" customFormat="false" ht="15" hidden="false" customHeight="false" outlineLevel="0" collapsed="false">
      <c r="A31" s="31" t="n">
        <v>27</v>
      </c>
      <c r="B31" s="32" t="s">
        <v>114</v>
      </c>
      <c r="C31" s="31" t="s">
        <v>82</v>
      </c>
      <c r="D31" s="33" t="n">
        <v>0.1</v>
      </c>
      <c r="E31" s="34" t="n">
        <v>20000</v>
      </c>
      <c r="F31" s="35" t="n">
        <f aca="false">D31*E31</f>
        <v>2000</v>
      </c>
      <c r="G31" s="36" t="n">
        <f aca="false">E31/$E$182</f>
        <v>0.00111653872993719</v>
      </c>
    </row>
    <row r="32" customFormat="false" ht="23.85" hidden="false" customHeight="false" outlineLevel="0" collapsed="false">
      <c r="A32" s="37" t="n">
        <v>28</v>
      </c>
      <c r="B32" s="38" t="s">
        <v>115</v>
      </c>
      <c r="C32" s="37" t="s">
        <v>82</v>
      </c>
      <c r="D32" s="39" t="n">
        <v>0.1</v>
      </c>
      <c r="E32" s="40" t="n">
        <v>20000</v>
      </c>
      <c r="F32" s="41" t="n">
        <f aca="false">D32*E32</f>
        <v>2000</v>
      </c>
      <c r="G32" s="42" t="n">
        <f aca="false">E32/$E$182</f>
        <v>0.00111653872993719</v>
      </c>
    </row>
    <row r="33" customFormat="false" ht="15" hidden="false" customHeight="false" outlineLevel="0" collapsed="false">
      <c r="A33" s="31" t="n">
        <v>29</v>
      </c>
      <c r="B33" s="32" t="s">
        <v>116</v>
      </c>
      <c r="C33" s="31" t="s">
        <v>82</v>
      </c>
      <c r="D33" s="33" t="n">
        <v>0.1</v>
      </c>
      <c r="E33" s="34" t="n">
        <v>25000</v>
      </c>
      <c r="F33" s="35" t="n">
        <f aca="false">D33*E33</f>
        <v>2500</v>
      </c>
      <c r="G33" s="36" t="n">
        <f aca="false">E33/$E$182</f>
        <v>0.00139567341242149</v>
      </c>
    </row>
    <row r="34" customFormat="false" ht="15" hidden="false" customHeight="false" outlineLevel="0" collapsed="false">
      <c r="A34" s="37" t="n">
        <v>30</v>
      </c>
      <c r="B34" s="38" t="s">
        <v>117</v>
      </c>
      <c r="C34" s="37" t="s">
        <v>82</v>
      </c>
      <c r="D34" s="39" t="n">
        <v>0.1</v>
      </c>
      <c r="E34" s="40" t="n">
        <v>30000</v>
      </c>
      <c r="F34" s="41" t="n">
        <f aca="false">D34*E34</f>
        <v>3000</v>
      </c>
      <c r="G34" s="42" t="n">
        <f aca="false">E34/$E$182</f>
        <v>0.00167480809490579</v>
      </c>
    </row>
    <row r="35" customFormat="false" ht="15" hidden="false" customHeight="false" outlineLevel="0" collapsed="false">
      <c r="A35" s="31" t="n">
        <v>31</v>
      </c>
      <c r="B35" s="32" t="s">
        <v>118</v>
      </c>
      <c r="C35" s="31" t="s">
        <v>82</v>
      </c>
      <c r="D35" s="33" t="n">
        <v>0.1</v>
      </c>
      <c r="E35" s="34" t="n">
        <v>5000</v>
      </c>
      <c r="F35" s="35" t="n">
        <f aca="false">D35*E35</f>
        <v>500</v>
      </c>
      <c r="G35" s="36" t="n">
        <f aca="false">E35/$E$182</f>
        <v>0.000279134682484299</v>
      </c>
    </row>
    <row r="36" customFormat="false" ht="15" hidden="false" customHeight="false" outlineLevel="0" collapsed="false">
      <c r="A36" s="37" t="n">
        <v>32</v>
      </c>
      <c r="B36" s="38" t="s">
        <v>119</v>
      </c>
      <c r="C36" s="37" t="s">
        <v>82</v>
      </c>
      <c r="D36" s="39" t="n">
        <v>0.1</v>
      </c>
      <c r="E36" s="40" t="n">
        <v>25000</v>
      </c>
      <c r="F36" s="41" t="n">
        <f aca="false">D36*E36</f>
        <v>2500</v>
      </c>
      <c r="G36" s="42" t="n">
        <f aca="false">E36/$E$182</f>
        <v>0.00139567341242149</v>
      </c>
    </row>
    <row r="37" customFormat="false" ht="15" hidden="false" customHeight="false" outlineLevel="0" collapsed="false">
      <c r="A37" s="31" t="n">
        <v>33</v>
      </c>
      <c r="B37" s="32" t="s">
        <v>120</v>
      </c>
      <c r="C37" s="31" t="s">
        <v>82</v>
      </c>
      <c r="D37" s="33" t="n">
        <v>0.1</v>
      </c>
      <c r="E37" s="34" t="n">
        <v>100000</v>
      </c>
      <c r="F37" s="35" t="n">
        <f aca="false">D37*E37</f>
        <v>10000</v>
      </c>
      <c r="G37" s="36" t="n">
        <f aca="false">E37/$E$182</f>
        <v>0.00558269364968597</v>
      </c>
    </row>
    <row r="38" customFormat="false" ht="15" hidden="false" customHeight="false" outlineLevel="0" collapsed="false">
      <c r="A38" s="37" t="n">
        <v>34</v>
      </c>
      <c r="B38" s="38" t="s">
        <v>121</v>
      </c>
      <c r="C38" s="37" t="s">
        <v>82</v>
      </c>
      <c r="D38" s="39" t="n">
        <v>0.1</v>
      </c>
      <c r="E38" s="40" t="n">
        <v>25000</v>
      </c>
      <c r="F38" s="41" t="n">
        <f aca="false">D38*E38</f>
        <v>2500</v>
      </c>
      <c r="G38" s="42" t="n">
        <f aca="false">E38/$E$182</f>
        <v>0.00139567341242149</v>
      </c>
    </row>
    <row r="39" customFormat="false" ht="15" hidden="false" customHeight="false" outlineLevel="0" collapsed="false">
      <c r="A39" s="31" t="n">
        <v>35</v>
      </c>
      <c r="B39" s="32" t="s">
        <v>122</v>
      </c>
      <c r="C39" s="31" t="s">
        <v>82</v>
      </c>
      <c r="D39" s="33" t="n">
        <v>0.1</v>
      </c>
      <c r="E39" s="34" t="n">
        <v>5000</v>
      </c>
      <c r="F39" s="35" t="n">
        <f aca="false">D39*E39</f>
        <v>500</v>
      </c>
      <c r="G39" s="36" t="n">
        <f aca="false">E39/$E$182</f>
        <v>0.000279134682484299</v>
      </c>
    </row>
    <row r="40" customFormat="false" ht="15" hidden="false" customHeight="false" outlineLevel="0" collapsed="false">
      <c r="A40" s="37" t="n">
        <v>36</v>
      </c>
      <c r="B40" s="38" t="s">
        <v>123</v>
      </c>
      <c r="C40" s="37" t="s">
        <v>82</v>
      </c>
      <c r="D40" s="39" t="n">
        <v>0.1</v>
      </c>
      <c r="E40" s="40" t="n">
        <v>15000</v>
      </c>
      <c r="F40" s="41" t="n">
        <f aca="false">D40*E40</f>
        <v>1500</v>
      </c>
      <c r="G40" s="42" t="n">
        <f aca="false">E40/$E$182</f>
        <v>0.000837404047452896</v>
      </c>
    </row>
    <row r="41" customFormat="false" ht="15" hidden="false" customHeight="false" outlineLevel="0" collapsed="false">
      <c r="A41" s="31" t="n">
        <v>37</v>
      </c>
      <c r="B41" s="32" t="s">
        <v>124</v>
      </c>
      <c r="C41" s="31" t="s">
        <v>82</v>
      </c>
      <c r="D41" s="33" t="n">
        <v>0.1</v>
      </c>
      <c r="E41" s="34" t="n">
        <v>5000</v>
      </c>
      <c r="F41" s="35" t="n">
        <f aca="false">D41*E41</f>
        <v>500</v>
      </c>
      <c r="G41" s="36" t="n">
        <f aca="false">E41/$E$182</f>
        <v>0.000279134682484299</v>
      </c>
    </row>
    <row r="42" customFormat="false" ht="15" hidden="false" customHeight="false" outlineLevel="0" collapsed="false">
      <c r="A42" s="37" t="n">
        <v>38</v>
      </c>
      <c r="B42" s="38" t="s">
        <v>125</v>
      </c>
      <c r="C42" s="37" t="s">
        <v>82</v>
      </c>
      <c r="D42" s="39" t="n">
        <v>0.1</v>
      </c>
      <c r="E42" s="40" t="n">
        <v>2000</v>
      </c>
      <c r="F42" s="41" t="n">
        <f aca="false">D42*E42</f>
        <v>200</v>
      </c>
      <c r="G42" s="42" t="n">
        <f aca="false">E42/$E$182</f>
        <v>0.000111653872993719</v>
      </c>
    </row>
    <row r="43" customFormat="false" ht="15" hidden="false" customHeight="false" outlineLevel="0" collapsed="false">
      <c r="A43" s="31" t="n">
        <v>39</v>
      </c>
      <c r="B43" s="32" t="s">
        <v>126</v>
      </c>
      <c r="C43" s="31" t="s">
        <v>82</v>
      </c>
      <c r="D43" s="33" t="n">
        <v>0.1</v>
      </c>
      <c r="E43" s="34" t="n">
        <v>2000</v>
      </c>
      <c r="F43" s="35" t="n">
        <f aca="false">D43*E43</f>
        <v>200</v>
      </c>
      <c r="G43" s="36" t="n">
        <f aca="false">E43/$E$182</f>
        <v>0.000111653872993719</v>
      </c>
    </row>
    <row r="44" customFormat="false" ht="15" hidden="false" customHeight="false" outlineLevel="0" collapsed="false">
      <c r="A44" s="37" t="n">
        <v>40</v>
      </c>
      <c r="B44" s="38" t="s">
        <v>127</v>
      </c>
      <c r="C44" s="37" t="s">
        <v>82</v>
      </c>
      <c r="D44" s="39" t="n">
        <v>0.1</v>
      </c>
      <c r="E44" s="40" t="n">
        <v>2000</v>
      </c>
      <c r="F44" s="41" t="n">
        <f aca="false">D44*E44</f>
        <v>200</v>
      </c>
      <c r="G44" s="42" t="n">
        <f aca="false">E44/$E$182</f>
        <v>0.000111653872993719</v>
      </c>
    </row>
    <row r="45" customFormat="false" ht="15" hidden="false" customHeight="false" outlineLevel="0" collapsed="false">
      <c r="A45" s="31" t="n">
        <v>41</v>
      </c>
      <c r="B45" s="32" t="s">
        <v>128</v>
      </c>
      <c r="C45" s="31" t="s">
        <v>82</v>
      </c>
      <c r="D45" s="33" t="n">
        <v>0.1</v>
      </c>
      <c r="E45" s="34" t="n">
        <v>2000</v>
      </c>
      <c r="F45" s="35" t="n">
        <f aca="false">D45*E45</f>
        <v>200</v>
      </c>
      <c r="G45" s="36" t="n">
        <f aca="false">E45/$E$182</f>
        <v>0.000111653872993719</v>
      </c>
    </row>
    <row r="46" customFormat="false" ht="15" hidden="false" customHeight="false" outlineLevel="0" collapsed="false">
      <c r="A46" s="37" t="n">
        <v>42</v>
      </c>
      <c r="B46" s="38" t="s">
        <v>129</v>
      </c>
      <c r="C46" s="37" t="s">
        <v>82</v>
      </c>
      <c r="D46" s="39" t="n">
        <v>0.1</v>
      </c>
      <c r="E46" s="40" t="n">
        <v>2000</v>
      </c>
      <c r="F46" s="41" t="n">
        <f aca="false">D46*E46</f>
        <v>200</v>
      </c>
      <c r="G46" s="42" t="n">
        <f aca="false">E46/$E$182</f>
        <v>0.000111653872993719</v>
      </c>
    </row>
    <row r="47" customFormat="false" ht="15" hidden="false" customHeight="false" outlineLevel="0" collapsed="false">
      <c r="A47" s="31" t="n">
        <v>43</v>
      </c>
      <c r="B47" s="32" t="s">
        <v>130</v>
      </c>
      <c r="C47" s="31" t="s">
        <v>82</v>
      </c>
      <c r="D47" s="33" t="n">
        <v>0.1</v>
      </c>
      <c r="E47" s="34" t="n">
        <v>2000</v>
      </c>
      <c r="F47" s="35" t="n">
        <f aca="false">D47*E47</f>
        <v>200</v>
      </c>
      <c r="G47" s="36" t="n">
        <f aca="false">E47/$E$182</f>
        <v>0.000111653872993719</v>
      </c>
    </row>
    <row r="48" customFormat="false" ht="15" hidden="false" customHeight="false" outlineLevel="0" collapsed="false">
      <c r="A48" s="37" t="n">
        <v>44</v>
      </c>
      <c r="B48" s="38" t="s">
        <v>131</v>
      </c>
      <c r="C48" s="37" t="s">
        <v>82</v>
      </c>
      <c r="D48" s="39" t="n">
        <v>0.1</v>
      </c>
      <c r="E48" s="40" t="n">
        <v>2000</v>
      </c>
      <c r="F48" s="41" t="n">
        <f aca="false">D48*E48</f>
        <v>200</v>
      </c>
      <c r="G48" s="42" t="n">
        <f aca="false">E48/$E$182</f>
        <v>0.000111653872993719</v>
      </c>
    </row>
    <row r="49" customFormat="false" ht="15" hidden="false" customHeight="false" outlineLevel="0" collapsed="false">
      <c r="A49" s="31" t="n">
        <v>45</v>
      </c>
      <c r="B49" s="32" t="s">
        <v>132</v>
      </c>
      <c r="C49" s="31" t="s">
        <v>82</v>
      </c>
      <c r="D49" s="33" t="n">
        <v>0.1</v>
      </c>
      <c r="E49" s="34" t="n">
        <v>2000</v>
      </c>
      <c r="F49" s="35" t="n">
        <f aca="false">D49*E49</f>
        <v>200</v>
      </c>
      <c r="G49" s="36" t="n">
        <f aca="false">E49/$E$182</f>
        <v>0.000111653872993719</v>
      </c>
    </row>
    <row r="50" customFormat="false" ht="15" hidden="false" customHeight="false" outlineLevel="0" collapsed="false">
      <c r="A50" s="37" t="n">
        <v>46</v>
      </c>
      <c r="B50" s="38" t="s">
        <v>133</v>
      </c>
      <c r="C50" s="37" t="s">
        <v>82</v>
      </c>
      <c r="D50" s="39" t="n">
        <v>0.1</v>
      </c>
      <c r="E50" s="40" t="n">
        <v>2000</v>
      </c>
      <c r="F50" s="41" t="n">
        <f aca="false">D50*E50</f>
        <v>200</v>
      </c>
      <c r="G50" s="42" t="n">
        <f aca="false">E50/$E$182</f>
        <v>0.000111653872993719</v>
      </c>
    </row>
    <row r="51" customFormat="false" ht="15" hidden="false" customHeight="false" outlineLevel="0" collapsed="false">
      <c r="A51" s="31" t="n">
        <v>47</v>
      </c>
      <c r="B51" s="32" t="s">
        <v>134</v>
      </c>
      <c r="C51" s="31" t="s">
        <v>82</v>
      </c>
      <c r="D51" s="33" t="n">
        <v>0.1</v>
      </c>
      <c r="E51" s="34" t="n">
        <v>10000</v>
      </c>
      <c r="F51" s="35" t="n">
        <f aca="false">D51*E51</f>
        <v>1000</v>
      </c>
      <c r="G51" s="36" t="n">
        <f aca="false">E51/$E$182</f>
        <v>0.000558269364968597</v>
      </c>
    </row>
    <row r="52" customFormat="false" ht="15" hidden="false" customHeight="false" outlineLevel="0" collapsed="false">
      <c r="A52" s="37" t="n">
        <v>48</v>
      </c>
      <c r="B52" s="38" t="s">
        <v>135</v>
      </c>
      <c r="C52" s="37" t="s">
        <v>82</v>
      </c>
      <c r="D52" s="39" t="n">
        <v>0.1</v>
      </c>
      <c r="E52" s="40" t="n">
        <v>2000</v>
      </c>
      <c r="F52" s="41" t="n">
        <f aca="false">D52*E52</f>
        <v>200</v>
      </c>
      <c r="G52" s="42" t="n">
        <f aca="false">E52/$E$182</f>
        <v>0.000111653872993719</v>
      </c>
    </row>
    <row r="53" customFormat="false" ht="15" hidden="false" customHeight="false" outlineLevel="0" collapsed="false">
      <c r="A53" s="31" t="n">
        <v>49</v>
      </c>
      <c r="B53" s="32" t="s">
        <v>136</v>
      </c>
      <c r="C53" s="31" t="s">
        <v>82</v>
      </c>
      <c r="D53" s="33" t="n">
        <v>0.1</v>
      </c>
      <c r="E53" s="34" t="n">
        <v>5000</v>
      </c>
      <c r="F53" s="35" t="n">
        <f aca="false">D53*E53</f>
        <v>500</v>
      </c>
      <c r="G53" s="36" t="n">
        <f aca="false">E53/$E$182</f>
        <v>0.000279134682484299</v>
      </c>
    </row>
    <row r="54" customFormat="false" ht="15" hidden="false" customHeight="false" outlineLevel="0" collapsed="false">
      <c r="A54" s="37" t="n">
        <v>50</v>
      </c>
      <c r="B54" s="38" t="s">
        <v>137</v>
      </c>
      <c r="C54" s="37" t="s">
        <v>82</v>
      </c>
      <c r="D54" s="39" t="n">
        <v>0.1</v>
      </c>
      <c r="E54" s="40" t="n">
        <v>2000</v>
      </c>
      <c r="F54" s="41" t="n">
        <f aca="false">D54*E54</f>
        <v>200</v>
      </c>
      <c r="G54" s="42" t="n">
        <f aca="false">E54/$E$182</f>
        <v>0.000111653872993719</v>
      </c>
    </row>
    <row r="55" customFormat="false" ht="15" hidden="false" customHeight="false" outlineLevel="0" collapsed="false">
      <c r="A55" s="31" t="n">
        <v>51</v>
      </c>
      <c r="B55" s="32" t="s">
        <v>138</v>
      </c>
      <c r="C55" s="31" t="s">
        <v>82</v>
      </c>
      <c r="D55" s="33" t="n">
        <v>0.1</v>
      </c>
      <c r="E55" s="34" t="n">
        <v>5000</v>
      </c>
      <c r="F55" s="35" t="n">
        <f aca="false">D55*E55</f>
        <v>500</v>
      </c>
      <c r="G55" s="36" t="n">
        <f aca="false">E55/$E$182</f>
        <v>0.000279134682484299</v>
      </c>
    </row>
    <row r="56" customFormat="false" ht="15" hidden="false" customHeight="false" outlineLevel="0" collapsed="false">
      <c r="A56" s="37" t="n">
        <v>52</v>
      </c>
      <c r="B56" s="38" t="s">
        <v>139</v>
      </c>
      <c r="C56" s="37" t="s">
        <v>82</v>
      </c>
      <c r="D56" s="39" t="n">
        <v>0.1</v>
      </c>
      <c r="E56" s="40" t="n">
        <v>5000</v>
      </c>
      <c r="F56" s="41" t="n">
        <f aca="false">D56*E56</f>
        <v>500</v>
      </c>
      <c r="G56" s="42" t="n">
        <f aca="false">E56/$E$182</f>
        <v>0.000279134682484299</v>
      </c>
    </row>
    <row r="57" customFormat="false" ht="15" hidden="false" customHeight="false" outlineLevel="0" collapsed="false">
      <c r="A57" s="31" t="n">
        <v>53</v>
      </c>
      <c r="B57" s="32" t="s">
        <v>140</v>
      </c>
      <c r="C57" s="31" t="s">
        <v>82</v>
      </c>
      <c r="D57" s="33" t="n">
        <v>0.1</v>
      </c>
      <c r="E57" s="34" t="n">
        <v>6000</v>
      </c>
      <c r="F57" s="35" t="n">
        <f aca="false">D57*E57</f>
        <v>600</v>
      </c>
      <c r="G57" s="36" t="n">
        <f aca="false">E57/$E$182</f>
        <v>0.000334961618981158</v>
      </c>
    </row>
    <row r="58" customFormat="false" ht="15" hidden="false" customHeight="false" outlineLevel="0" collapsed="false">
      <c r="A58" s="37" t="n">
        <v>54</v>
      </c>
      <c r="B58" s="38" t="s">
        <v>141</v>
      </c>
      <c r="C58" s="37" t="s">
        <v>82</v>
      </c>
      <c r="D58" s="39" t="n">
        <v>0.1</v>
      </c>
      <c r="E58" s="40" t="n">
        <v>100000</v>
      </c>
      <c r="F58" s="41" t="n">
        <f aca="false">D58*E58</f>
        <v>10000</v>
      </c>
      <c r="G58" s="42" t="n">
        <f aca="false">E58/$E$182</f>
        <v>0.00558269364968597</v>
      </c>
    </row>
    <row r="59" customFormat="false" ht="15" hidden="false" customHeight="false" outlineLevel="0" collapsed="false">
      <c r="A59" s="31" t="n">
        <v>55</v>
      </c>
      <c r="B59" s="32" t="s">
        <v>142</v>
      </c>
      <c r="C59" s="31" t="s">
        <v>82</v>
      </c>
      <c r="D59" s="33" t="n">
        <v>0.1</v>
      </c>
      <c r="E59" s="34" t="n">
        <v>100000</v>
      </c>
      <c r="F59" s="35" t="n">
        <f aca="false">D59*E59</f>
        <v>10000</v>
      </c>
      <c r="G59" s="36" t="n">
        <f aca="false">E59/$E$182</f>
        <v>0.00558269364968597</v>
      </c>
    </row>
    <row r="60" customFormat="false" ht="15" hidden="false" customHeight="false" outlineLevel="0" collapsed="false">
      <c r="A60" s="37" t="n">
        <v>56</v>
      </c>
      <c r="B60" s="38" t="s">
        <v>143</v>
      </c>
      <c r="C60" s="37" t="s">
        <v>82</v>
      </c>
      <c r="D60" s="39" t="n">
        <v>0.1</v>
      </c>
      <c r="E60" s="40" t="n">
        <v>2000</v>
      </c>
      <c r="F60" s="41" t="n">
        <f aca="false">D60*E60</f>
        <v>200</v>
      </c>
      <c r="G60" s="42" t="n">
        <f aca="false">E60/$E$182</f>
        <v>0.000111653872993719</v>
      </c>
    </row>
    <row r="61" customFormat="false" ht="15" hidden="false" customHeight="false" outlineLevel="0" collapsed="false">
      <c r="A61" s="31" t="n">
        <v>57</v>
      </c>
      <c r="B61" s="32" t="s">
        <v>144</v>
      </c>
      <c r="C61" s="31" t="s">
        <v>82</v>
      </c>
      <c r="D61" s="33" t="n">
        <v>0.1</v>
      </c>
      <c r="E61" s="34" t="n">
        <v>100000</v>
      </c>
      <c r="F61" s="35" t="n">
        <f aca="false">D61*E61</f>
        <v>10000</v>
      </c>
      <c r="G61" s="36" t="n">
        <f aca="false">E61/$E$182</f>
        <v>0.00558269364968597</v>
      </c>
    </row>
    <row r="62" customFormat="false" ht="15" hidden="false" customHeight="false" outlineLevel="0" collapsed="false">
      <c r="A62" s="37" t="n">
        <v>58</v>
      </c>
      <c r="B62" s="38" t="s">
        <v>145</v>
      </c>
      <c r="C62" s="37" t="s">
        <v>82</v>
      </c>
      <c r="D62" s="39" t="n">
        <v>0.1</v>
      </c>
      <c r="E62" s="40" t="n">
        <v>250000</v>
      </c>
      <c r="F62" s="41" t="n">
        <f aca="false">D62*E62</f>
        <v>25000</v>
      </c>
      <c r="G62" s="42" t="n">
        <f aca="false">E62/$E$182</f>
        <v>0.0139567341242149</v>
      </c>
    </row>
    <row r="63" customFormat="false" ht="23.85" hidden="false" customHeight="false" outlineLevel="0" collapsed="false">
      <c r="A63" s="31" t="n">
        <v>59</v>
      </c>
      <c r="B63" s="32" t="s">
        <v>146</v>
      </c>
      <c r="C63" s="31" t="s">
        <v>82</v>
      </c>
      <c r="D63" s="33" t="n">
        <v>0.1</v>
      </c>
      <c r="E63" s="34" t="n">
        <v>10000</v>
      </c>
      <c r="F63" s="35" t="n">
        <f aca="false">D63*E63</f>
        <v>1000</v>
      </c>
      <c r="G63" s="36" t="n">
        <f aca="false">E63/$E$182</f>
        <v>0.000558269364968597</v>
      </c>
    </row>
    <row r="64" customFormat="false" ht="15" hidden="false" customHeight="false" outlineLevel="0" collapsed="false">
      <c r="A64" s="37" t="n">
        <v>60</v>
      </c>
      <c r="B64" s="38" t="s">
        <v>147</v>
      </c>
      <c r="C64" s="37" t="s">
        <v>82</v>
      </c>
      <c r="D64" s="39" t="n">
        <v>0.1</v>
      </c>
      <c r="E64" s="40" t="n">
        <v>15000</v>
      </c>
      <c r="F64" s="41" t="n">
        <f aca="false">D64*E64</f>
        <v>1500</v>
      </c>
      <c r="G64" s="42" t="n">
        <f aca="false">E64/$E$182</f>
        <v>0.000837404047452896</v>
      </c>
    </row>
    <row r="65" customFormat="false" ht="15" hidden="false" customHeight="false" outlineLevel="0" collapsed="false">
      <c r="A65" s="31" t="n">
        <v>61</v>
      </c>
      <c r="B65" s="32" t="s">
        <v>148</v>
      </c>
      <c r="C65" s="31" t="s">
        <v>82</v>
      </c>
      <c r="D65" s="33" t="n">
        <v>0.1</v>
      </c>
      <c r="E65" s="34" t="n">
        <v>100000</v>
      </c>
      <c r="F65" s="35" t="n">
        <f aca="false">D65*E65</f>
        <v>10000</v>
      </c>
      <c r="G65" s="36" t="n">
        <f aca="false">E65/$E$182</f>
        <v>0.00558269364968597</v>
      </c>
    </row>
    <row r="66" customFormat="false" ht="15" hidden="false" customHeight="false" outlineLevel="0" collapsed="false">
      <c r="A66" s="37" t="n">
        <v>62</v>
      </c>
      <c r="B66" s="38" t="s">
        <v>149</v>
      </c>
      <c r="C66" s="37" t="s">
        <v>82</v>
      </c>
      <c r="D66" s="39" t="n">
        <v>0.1</v>
      </c>
      <c r="E66" s="40" t="n">
        <v>100000</v>
      </c>
      <c r="F66" s="41" t="n">
        <f aca="false">D66*E66</f>
        <v>10000</v>
      </c>
      <c r="G66" s="42" t="n">
        <f aca="false">E66/$E$182</f>
        <v>0.00558269364968597</v>
      </c>
    </row>
    <row r="67" customFormat="false" ht="15" hidden="false" customHeight="false" outlineLevel="0" collapsed="false">
      <c r="A67" s="31" t="n">
        <v>63</v>
      </c>
      <c r="B67" s="32" t="s">
        <v>150</v>
      </c>
      <c r="C67" s="31" t="s">
        <v>82</v>
      </c>
      <c r="D67" s="33" t="n">
        <v>0.1</v>
      </c>
      <c r="E67" s="34" t="n">
        <v>5000</v>
      </c>
      <c r="F67" s="35" t="n">
        <f aca="false">D67*E67</f>
        <v>500</v>
      </c>
      <c r="G67" s="36" t="n">
        <f aca="false">E67/$E$182</f>
        <v>0.000279134682484299</v>
      </c>
    </row>
    <row r="68" customFormat="false" ht="15" hidden="false" customHeight="false" outlineLevel="0" collapsed="false">
      <c r="A68" s="37" t="n">
        <v>64</v>
      </c>
      <c r="B68" s="38" t="s">
        <v>151</v>
      </c>
      <c r="C68" s="37" t="s">
        <v>82</v>
      </c>
      <c r="D68" s="39" t="n">
        <v>0.1</v>
      </c>
      <c r="E68" s="40" t="n">
        <v>5000</v>
      </c>
      <c r="F68" s="41" t="n">
        <f aca="false">D68*E68</f>
        <v>500</v>
      </c>
      <c r="G68" s="42" t="n">
        <f aca="false">E68/$E$182</f>
        <v>0.000279134682484299</v>
      </c>
    </row>
    <row r="69" customFormat="false" ht="15" hidden="false" customHeight="false" outlineLevel="0" collapsed="false">
      <c r="A69" s="31" t="n">
        <v>65</v>
      </c>
      <c r="B69" s="32" t="s">
        <v>152</v>
      </c>
      <c r="C69" s="31" t="s">
        <v>82</v>
      </c>
      <c r="D69" s="33" t="n">
        <v>0.1</v>
      </c>
      <c r="E69" s="34" t="n">
        <v>20000</v>
      </c>
      <c r="F69" s="35" t="n">
        <f aca="false">D69*E69</f>
        <v>2000</v>
      </c>
      <c r="G69" s="36" t="n">
        <f aca="false">E69/$E$182</f>
        <v>0.00111653872993719</v>
      </c>
    </row>
    <row r="70" customFormat="false" ht="15" hidden="false" customHeight="false" outlineLevel="0" collapsed="false">
      <c r="A70" s="37" t="n">
        <v>66</v>
      </c>
      <c r="B70" s="38" t="s">
        <v>153</v>
      </c>
      <c r="C70" s="37" t="s">
        <v>82</v>
      </c>
      <c r="D70" s="39" t="n">
        <v>0.1</v>
      </c>
      <c r="E70" s="40" t="n">
        <v>20000</v>
      </c>
      <c r="F70" s="41" t="n">
        <f aca="false">D70*E70</f>
        <v>2000</v>
      </c>
      <c r="G70" s="42" t="n">
        <f aca="false">E70/$E$182</f>
        <v>0.00111653872993719</v>
      </c>
    </row>
    <row r="71" customFormat="false" ht="15" hidden="false" customHeight="false" outlineLevel="0" collapsed="false">
      <c r="A71" s="31" t="n">
        <v>67</v>
      </c>
      <c r="B71" s="32" t="s">
        <v>154</v>
      </c>
      <c r="C71" s="31" t="s">
        <v>82</v>
      </c>
      <c r="D71" s="33" t="n">
        <v>0.1</v>
      </c>
      <c r="E71" s="34" t="n">
        <v>20000</v>
      </c>
      <c r="F71" s="35" t="n">
        <f aca="false">D71*E71</f>
        <v>2000</v>
      </c>
      <c r="G71" s="36" t="n">
        <f aca="false">E71/$E$182</f>
        <v>0.00111653872993719</v>
      </c>
    </row>
    <row r="72" customFormat="false" ht="15" hidden="false" customHeight="false" outlineLevel="0" collapsed="false">
      <c r="A72" s="37" t="n">
        <v>68</v>
      </c>
      <c r="B72" s="38" t="s">
        <v>155</v>
      </c>
      <c r="C72" s="37" t="s">
        <v>82</v>
      </c>
      <c r="D72" s="39" t="n">
        <v>0.1</v>
      </c>
      <c r="E72" s="40" t="n">
        <v>5000</v>
      </c>
      <c r="F72" s="41" t="n">
        <f aca="false">D72*E72</f>
        <v>500</v>
      </c>
      <c r="G72" s="42" t="n">
        <f aca="false">E72/$E$182</f>
        <v>0.000279134682484299</v>
      </c>
    </row>
    <row r="73" customFormat="false" ht="15" hidden="false" customHeight="false" outlineLevel="0" collapsed="false">
      <c r="A73" s="31" t="n">
        <v>69</v>
      </c>
      <c r="B73" s="32" t="s">
        <v>156</v>
      </c>
      <c r="C73" s="31" t="s">
        <v>82</v>
      </c>
      <c r="D73" s="33" t="n">
        <v>0.1</v>
      </c>
      <c r="E73" s="34" t="n">
        <v>2000</v>
      </c>
      <c r="F73" s="35" t="n">
        <f aca="false">D73*E73</f>
        <v>200</v>
      </c>
      <c r="G73" s="36" t="n">
        <f aca="false">E73/$E$182</f>
        <v>0.000111653872993719</v>
      </c>
    </row>
    <row r="74" customFormat="false" ht="15" hidden="false" customHeight="false" outlineLevel="0" collapsed="false">
      <c r="A74" s="37" t="n">
        <v>70</v>
      </c>
      <c r="B74" s="38" t="s">
        <v>157</v>
      </c>
      <c r="C74" s="37" t="s">
        <v>82</v>
      </c>
      <c r="D74" s="39" t="n">
        <v>0.1</v>
      </c>
      <c r="E74" s="40" t="n">
        <v>2000</v>
      </c>
      <c r="F74" s="41" t="n">
        <f aca="false">D74*E74</f>
        <v>200</v>
      </c>
      <c r="G74" s="42" t="n">
        <f aca="false">E74/$E$182</f>
        <v>0.000111653872993719</v>
      </c>
    </row>
    <row r="75" customFormat="false" ht="15" hidden="false" customHeight="false" outlineLevel="0" collapsed="false">
      <c r="A75" s="31" t="n">
        <v>71</v>
      </c>
      <c r="B75" s="32" t="s">
        <v>158</v>
      </c>
      <c r="C75" s="31" t="s">
        <v>82</v>
      </c>
      <c r="D75" s="33" t="n">
        <v>0.1</v>
      </c>
      <c r="E75" s="34" t="n">
        <v>2000</v>
      </c>
      <c r="F75" s="35" t="n">
        <f aca="false">D75*E75</f>
        <v>200</v>
      </c>
      <c r="G75" s="36" t="n">
        <f aca="false">E75/$E$182</f>
        <v>0.000111653872993719</v>
      </c>
    </row>
    <row r="76" customFormat="false" ht="15" hidden="false" customHeight="false" outlineLevel="0" collapsed="false">
      <c r="A76" s="37" t="n">
        <v>72</v>
      </c>
      <c r="B76" s="38" t="s">
        <v>159</v>
      </c>
      <c r="C76" s="37" t="s">
        <v>82</v>
      </c>
      <c r="D76" s="39" t="n">
        <v>0.1</v>
      </c>
      <c r="E76" s="40" t="n">
        <v>2000</v>
      </c>
      <c r="F76" s="41" t="n">
        <f aca="false">D76*E76</f>
        <v>200</v>
      </c>
      <c r="G76" s="42" t="n">
        <f aca="false">E76/$E$182</f>
        <v>0.000111653872993719</v>
      </c>
    </row>
    <row r="77" customFormat="false" ht="15" hidden="false" customHeight="false" outlineLevel="0" collapsed="false">
      <c r="A77" s="31" t="n">
        <v>73</v>
      </c>
      <c r="B77" s="32" t="s">
        <v>160</v>
      </c>
      <c r="C77" s="31" t="s">
        <v>82</v>
      </c>
      <c r="D77" s="33" t="n">
        <v>0.1</v>
      </c>
      <c r="E77" s="34" t="n">
        <v>4000</v>
      </c>
      <c r="F77" s="35" t="n">
        <f aca="false">D77*E77</f>
        <v>400</v>
      </c>
      <c r="G77" s="36" t="n">
        <f aca="false">E77/$E$182</f>
        <v>0.000223307745987439</v>
      </c>
    </row>
    <row r="78" customFormat="false" ht="15" hidden="false" customHeight="false" outlineLevel="0" collapsed="false">
      <c r="A78" s="37" t="n">
        <v>74</v>
      </c>
      <c r="B78" s="38" t="s">
        <v>161</v>
      </c>
      <c r="C78" s="37" t="s">
        <v>82</v>
      </c>
      <c r="D78" s="39" t="n">
        <v>0.1</v>
      </c>
      <c r="E78" s="40" t="n">
        <v>5000</v>
      </c>
      <c r="F78" s="41" t="n">
        <f aca="false">D78*E78</f>
        <v>500</v>
      </c>
      <c r="G78" s="42" t="n">
        <f aca="false">E78/$E$182</f>
        <v>0.000279134682484299</v>
      </c>
    </row>
    <row r="79" customFormat="false" ht="15" hidden="false" customHeight="false" outlineLevel="0" collapsed="false">
      <c r="A79" s="31" t="n">
        <v>75</v>
      </c>
      <c r="B79" s="32" t="s">
        <v>162</v>
      </c>
      <c r="C79" s="31" t="s">
        <v>82</v>
      </c>
      <c r="D79" s="33" t="n">
        <v>0.1</v>
      </c>
      <c r="E79" s="34" t="n">
        <v>35000</v>
      </c>
      <c r="F79" s="35" t="n">
        <f aca="false">D79*E79</f>
        <v>3500</v>
      </c>
      <c r="G79" s="36" t="n">
        <f aca="false">E79/$E$182</f>
        <v>0.00195394277739009</v>
      </c>
    </row>
    <row r="80" customFormat="false" ht="15" hidden="false" customHeight="false" outlineLevel="0" collapsed="false">
      <c r="A80" s="37" t="n">
        <v>76</v>
      </c>
      <c r="B80" s="38" t="s">
        <v>163</v>
      </c>
      <c r="C80" s="37" t="s">
        <v>82</v>
      </c>
      <c r="D80" s="39" t="n">
        <v>0.1</v>
      </c>
      <c r="E80" s="40" t="n">
        <v>10000</v>
      </c>
      <c r="F80" s="41" t="n">
        <f aca="false">D80*E80</f>
        <v>1000</v>
      </c>
      <c r="G80" s="42" t="n">
        <f aca="false">E80/$E$182</f>
        <v>0.000558269364968597</v>
      </c>
    </row>
    <row r="81" customFormat="false" ht="15" hidden="false" customHeight="false" outlineLevel="0" collapsed="false">
      <c r="A81" s="31" t="n">
        <v>77</v>
      </c>
      <c r="B81" s="32" t="s">
        <v>164</v>
      </c>
      <c r="C81" s="31" t="s">
        <v>82</v>
      </c>
      <c r="D81" s="33" t="n">
        <v>0.1</v>
      </c>
      <c r="E81" s="34" t="n">
        <v>25000</v>
      </c>
      <c r="F81" s="35" t="n">
        <f aca="false">D81*E81</f>
        <v>2500</v>
      </c>
      <c r="G81" s="36" t="n">
        <f aca="false">E81/$E$182</f>
        <v>0.00139567341242149</v>
      </c>
    </row>
    <row r="82" customFormat="false" ht="23.85" hidden="false" customHeight="false" outlineLevel="0" collapsed="false">
      <c r="A82" s="37" t="n">
        <v>78</v>
      </c>
      <c r="B82" s="38" t="s">
        <v>165</v>
      </c>
      <c r="C82" s="37" t="s">
        <v>82</v>
      </c>
      <c r="D82" s="39" t="n">
        <v>0.1</v>
      </c>
      <c r="E82" s="40" t="n">
        <v>100000</v>
      </c>
      <c r="F82" s="41" t="n">
        <f aca="false">D82*E82</f>
        <v>10000</v>
      </c>
      <c r="G82" s="42" t="n">
        <f aca="false">E82/$E$182</f>
        <v>0.00558269364968597</v>
      </c>
    </row>
    <row r="83" customFormat="false" ht="15" hidden="false" customHeight="false" outlineLevel="0" collapsed="false">
      <c r="A83" s="31" t="n">
        <v>79</v>
      </c>
      <c r="B83" s="32" t="s">
        <v>166</v>
      </c>
      <c r="C83" s="31" t="s">
        <v>82</v>
      </c>
      <c r="D83" s="33" t="n">
        <v>0.1</v>
      </c>
      <c r="E83" s="34" t="n">
        <v>5000</v>
      </c>
      <c r="F83" s="35" t="n">
        <f aca="false">D83*E83</f>
        <v>500</v>
      </c>
      <c r="G83" s="36" t="n">
        <f aca="false">E83/$E$182</f>
        <v>0.000279134682484299</v>
      </c>
    </row>
    <row r="84" customFormat="false" ht="15" hidden="false" customHeight="false" outlineLevel="0" collapsed="false">
      <c r="A84" s="37" t="n">
        <v>80</v>
      </c>
      <c r="B84" s="38" t="s">
        <v>167</v>
      </c>
      <c r="C84" s="37" t="s">
        <v>82</v>
      </c>
      <c r="D84" s="39" t="n">
        <v>0.1</v>
      </c>
      <c r="E84" s="40" t="n">
        <v>10000</v>
      </c>
      <c r="F84" s="41" t="n">
        <f aca="false">D84*E84</f>
        <v>1000</v>
      </c>
      <c r="G84" s="42" t="n">
        <f aca="false">E84/$E$182</f>
        <v>0.000558269364968597</v>
      </c>
    </row>
    <row r="85" customFormat="false" ht="15" hidden="false" customHeight="false" outlineLevel="0" collapsed="false">
      <c r="A85" s="31" t="n">
        <v>81</v>
      </c>
      <c r="B85" s="32" t="s">
        <v>168</v>
      </c>
      <c r="C85" s="31" t="s">
        <v>82</v>
      </c>
      <c r="D85" s="33" t="n">
        <v>0.1</v>
      </c>
      <c r="E85" s="34" t="n">
        <v>20000</v>
      </c>
      <c r="F85" s="35" t="n">
        <f aca="false">D85*E85</f>
        <v>2000</v>
      </c>
      <c r="G85" s="36" t="n">
        <f aca="false">E85/$E$182</f>
        <v>0.00111653872993719</v>
      </c>
    </row>
    <row r="86" customFormat="false" ht="15" hidden="false" customHeight="false" outlineLevel="0" collapsed="false">
      <c r="A86" s="37" t="n">
        <v>82</v>
      </c>
      <c r="B86" s="38" t="s">
        <v>169</v>
      </c>
      <c r="C86" s="37" t="s">
        <v>82</v>
      </c>
      <c r="D86" s="39" t="n">
        <v>0.1</v>
      </c>
      <c r="E86" s="40" t="n">
        <v>10000</v>
      </c>
      <c r="F86" s="41" t="n">
        <f aca="false">D86*E86</f>
        <v>1000</v>
      </c>
      <c r="G86" s="42" t="n">
        <f aca="false">E86/$E$182</f>
        <v>0.000558269364968597</v>
      </c>
    </row>
    <row r="87" customFormat="false" ht="15" hidden="false" customHeight="false" outlineLevel="0" collapsed="false">
      <c r="A87" s="31" t="n">
        <v>83</v>
      </c>
      <c r="B87" s="32" t="s">
        <v>170</v>
      </c>
      <c r="C87" s="31" t="s">
        <v>82</v>
      </c>
      <c r="D87" s="33" t="n">
        <v>0.1</v>
      </c>
      <c r="E87" s="34" t="n">
        <v>10000</v>
      </c>
      <c r="F87" s="35" t="n">
        <f aca="false">D87*E87</f>
        <v>1000</v>
      </c>
      <c r="G87" s="36" t="n">
        <f aca="false">E87/$E$182</f>
        <v>0.000558269364968597</v>
      </c>
    </row>
    <row r="88" customFormat="false" ht="15" hidden="false" customHeight="false" outlineLevel="0" collapsed="false">
      <c r="A88" s="37" t="n">
        <v>84</v>
      </c>
      <c r="B88" s="38" t="s">
        <v>171</v>
      </c>
      <c r="C88" s="37" t="s">
        <v>82</v>
      </c>
      <c r="D88" s="39" t="n">
        <v>0.1</v>
      </c>
      <c r="E88" s="40" t="n">
        <v>10000</v>
      </c>
      <c r="F88" s="41" t="n">
        <f aca="false">D88*E88</f>
        <v>1000</v>
      </c>
      <c r="G88" s="42" t="n">
        <f aca="false">E88/$E$182</f>
        <v>0.000558269364968597</v>
      </c>
    </row>
    <row r="89" customFormat="false" ht="15" hidden="false" customHeight="false" outlineLevel="0" collapsed="false">
      <c r="A89" s="31" t="n">
        <v>85</v>
      </c>
      <c r="B89" s="32" t="s">
        <v>172</v>
      </c>
      <c r="C89" s="31" t="s">
        <v>82</v>
      </c>
      <c r="D89" s="33" t="n">
        <v>0.1</v>
      </c>
      <c r="E89" s="34" t="n">
        <v>50000</v>
      </c>
      <c r="F89" s="35" t="n">
        <f aca="false">D89*E89</f>
        <v>5000</v>
      </c>
      <c r="G89" s="36" t="n">
        <f aca="false">E89/$E$182</f>
        <v>0.00279134682484299</v>
      </c>
    </row>
    <row r="90" customFormat="false" ht="15" hidden="false" customHeight="false" outlineLevel="0" collapsed="false">
      <c r="A90" s="37" t="n">
        <v>86</v>
      </c>
      <c r="B90" s="38" t="s">
        <v>173</v>
      </c>
      <c r="C90" s="37" t="s">
        <v>82</v>
      </c>
      <c r="D90" s="39" t="n">
        <v>0.1</v>
      </c>
      <c r="E90" s="40" t="n">
        <v>20000</v>
      </c>
      <c r="F90" s="41" t="n">
        <f aca="false">D90*E90</f>
        <v>2000</v>
      </c>
      <c r="G90" s="42" t="n">
        <f aca="false">E90/$E$182</f>
        <v>0.00111653872993719</v>
      </c>
    </row>
    <row r="91" customFormat="false" ht="15" hidden="false" customHeight="false" outlineLevel="0" collapsed="false">
      <c r="A91" s="31" t="n">
        <v>87</v>
      </c>
      <c r="B91" s="32" t="s">
        <v>174</v>
      </c>
      <c r="C91" s="31" t="s">
        <v>82</v>
      </c>
      <c r="D91" s="33" t="n">
        <v>0.1</v>
      </c>
      <c r="E91" s="34" t="n">
        <v>2000</v>
      </c>
      <c r="F91" s="35" t="n">
        <f aca="false">D91*E91</f>
        <v>200</v>
      </c>
      <c r="G91" s="36" t="n">
        <f aca="false">E91/$E$182</f>
        <v>0.000111653872993719</v>
      </c>
    </row>
    <row r="92" customFormat="false" ht="15" hidden="false" customHeight="false" outlineLevel="0" collapsed="false">
      <c r="A92" s="37" t="n">
        <v>88</v>
      </c>
      <c r="B92" s="38" t="s">
        <v>175</v>
      </c>
      <c r="C92" s="37" t="s">
        <v>82</v>
      </c>
      <c r="D92" s="39" t="n">
        <v>0.1</v>
      </c>
      <c r="E92" s="40" t="n">
        <v>120000</v>
      </c>
      <c r="F92" s="41" t="n">
        <f aca="false">D92*E92</f>
        <v>12000</v>
      </c>
      <c r="G92" s="42" t="n">
        <f aca="false">E92/$E$182</f>
        <v>0.00669923237962317</v>
      </c>
    </row>
    <row r="93" customFormat="false" ht="15" hidden="false" customHeight="false" outlineLevel="0" collapsed="false">
      <c r="A93" s="31" t="n">
        <v>89</v>
      </c>
      <c r="B93" s="32" t="s">
        <v>176</v>
      </c>
      <c r="C93" s="31" t="s">
        <v>82</v>
      </c>
      <c r="D93" s="33" t="n">
        <v>0.1</v>
      </c>
      <c r="E93" s="34" t="n">
        <v>100000</v>
      </c>
      <c r="F93" s="35" t="n">
        <f aca="false">D93*E93</f>
        <v>10000</v>
      </c>
      <c r="G93" s="36" t="n">
        <f aca="false">E93/$E$182</f>
        <v>0.00558269364968597</v>
      </c>
    </row>
    <row r="94" customFormat="false" ht="15" hidden="false" customHeight="false" outlineLevel="0" collapsed="false">
      <c r="A94" s="37" t="n">
        <v>90</v>
      </c>
      <c r="B94" s="38" t="s">
        <v>177</v>
      </c>
      <c r="C94" s="37" t="s">
        <v>82</v>
      </c>
      <c r="D94" s="39" t="n">
        <v>0.1</v>
      </c>
      <c r="E94" s="40" t="n">
        <v>50000</v>
      </c>
      <c r="F94" s="41" t="n">
        <f aca="false">D94*E94</f>
        <v>5000</v>
      </c>
      <c r="G94" s="42" t="n">
        <f aca="false">E94/$E$182</f>
        <v>0.00279134682484299</v>
      </c>
    </row>
    <row r="95" customFormat="false" ht="15" hidden="false" customHeight="false" outlineLevel="0" collapsed="false">
      <c r="A95" s="31" t="n">
        <v>91</v>
      </c>
      <c r="B95" s="32" t="s">
        <v>178</v>
      </c>
      <c r="C95" s="31" t="s">
        <v>82</v>
      </c>
      <c r="D95" s="33" t="n">
        <v>0.1</v>
      </c>
      <c r="E95" s="34" t="n">
        <v>15000</v>
      </c>
      <c r="F95" s="35" t="n">
        <f aca="false">D95*E95</f>
        <v>1500</v>
      </c>
      <c r="G95" s="36" t="n">
        <f aca="false">E95/$E$182</f>
        <v>0.000837404047452896</v>
      </c>
    </row>
    <row r="96" customFormat="false" ht="15" hidden="false" customHeight="false" outlineLevel="0" collapsed="false">
      <c r="A96" s="37" t="n">
        <v>92</v>
      </c>
      <c r="B96" s="38" t="s">
        <v>179</v>
      </c>
      <c r="C96" s="37" t="s">
        <v>82</v>
      </c>
      <c r="D96" s="39" t="n">
        <v>0.1</v>
      </c>
      <c r="E96" s="40" t="n">
        <v>15000</v>
      </c>
      <c r="F96" s="41" t="n">
        <f aca="false">D96*E96</f>
        <v>1500</v>
      </c>
      <c r="G96" s="42" t="n">
        <f aca="false">E96/$E$182</f>
        <v>0.000837404047452896</v>
      </c>
    </row>
    <row r="97" customFormat="false" ht="15" hidden="false" customHeight="false" outlineLevel="0" collapsed="false">
      <c r="A97" s="31" t="n">
        <v>93</v>
      </c>
      <c r="B97" s="32" t="s">
        <v>180</v>
      </c>
      <c r="C97" s="31" t="s">
        <v>82</v>
      </c>
      <c r="D97" s="33" t="n">
        <v>0.1</v>
      </c>
      <c r="E97" s="34" t="n">
        <v>2000</v>
      </c>
      <c r="F97" s="35" t="n">
        <f aca="false">D97*E97</f>
        <v>200</v>
      </c>
      <c r="G97" s="36" t="n">
        <f aca="false">E97/$E$182</f>
        <v>0.000111653872993719</v>
      </c>
    </row>
    <row r="98" customFormat="false" ht="15" hidden="false" customHeight="false" outlineLevel="0" collapsed="false">
      <c r="A98" s="37" t="n">
        <v>94</v>
      </c>
      <c r="B98" s="38" t="s">
        <v>181</v>
      </c>
      <c r="C98" s="37" t="s">
        <v>82</v>
      </c>
      <c r="D98" s="39" t="n">
        <v>0.1</v>
      </c>
      <c r="E98" s="40" t="n">
        <v>40000</v>
      </c>
      <c r="F98" s="41" t="n">
        <f aca="false">D98*E98</f>
        <v>4000</v>
      </c>
      <c r="G98" s="42" t="n">
        <f aca="false">E98/$E$182</f>
        <v>0.00223307745987439</v>
      </c>
    </row>
    <row r="99" customFormat="false" ht="15" hidden="false" customHeight="false" outlineLevel="0" collapsed="false">
      <c r="A99" s="31" t="n">
        <v>95</v>
      </c>
      <c r="B99" s="32" t="s">
        <v>182</v>
      </c>
      <c r="C99" s="31" t="s">
        <v>82</v>
      </c>
      <c r="D99" s="33" t="n">
        <v>0.1</v>
      </c>
      <c r="E99" s="34" t="n">
        <v>50000</v>
      </c>
      <c r="F99" s="35" t="n">
        <f aca="false">D99*E99</f>
        <v>5000</v>
      </c>
      <c r="G99" s="36" t="n">
        <f aca="false">E99/$E$182</f>
        <v>0.00279134682484299</v>
      </c>
    </row>
    <row r="100" customFormat="false" ht="15" hidden="false" customHeight="false" outlineLevel="0" collapsed="false">
      <c r="A100" s="37" t="n">
        <v>96</v>
      </c>
      <c r="B100" s="38" t="s">
        <v>183</v>
      </c>
      <c r="C100" s="37" t="s">
        <v>82</v>
      </c>
      <c r="D100" s="39" t="n">
        <v>0.1</v>
      </c>
      <c r="E100" s="40" t="n">
        <v>25000</v>
      </c>
      <c r="F100" s="41" t="n">
        <f aca="false">D100*E100</f>
        <v>2500</v>
      </c>
      <c r="G100" s="42" t="n">
        <f aca="false">E100/$E$182</f>
        <v>0.00139567341242149</v>
      </c>
    </row>
    <row r="101" customFormat="false" ht="15" hidden="false" customHeight="false" outlineLevel="0" collapsed="false">
      <c r="A101" s="31" t="n">
        <v>97</v>
      </c>
      <c r="B101" s="32" t="s">
        <v>184</v>
      </c>
      <c r="C101" s="31" t="s">
        <v>82</v>
      </c>
      <c r="D101" s="33" t="n">
        <v>0.1</v>
      </c>
      <c r="E101" s="34" t="n">
        <v>5000</v>
      </c>
      <c r="F101" s="35" t="n">
        <f aca="false">D101*E101</f>
        <v>500</v>
      </c>
      <c r="G101" s="36" t="n">
        <f aca="false">E101/$E$182</f>
        <v>0.000279134682484299</v>
      </c>
    </row>
    <row r="102" customFormat="false" ht="15" hidden="false" customHeight="false" outlineLevel="0" collapsed="false">
      <c r="A102" s="37" t="n">
        <v>98</v>
      </c>
      <c r="B102" s="38" t="s">
        <v>185</v>
      </c>
      <c r="C102" s="37" t="s">
        <v>82</v>
      </c>
      <c r="D102" s="39" t="n">
        <v>0.1</v>
      </c>
      <c r="E102" s="40" t="n">
        <v>50000</v>
      </c>
      <c r="F102" s="41" t="n">
        <f aca="false">D102*E102</f>
        <v>5000</v>
      </c>
      <c r="G102" s="42" t="n">
        <f aca="false">E102/$E$182</f>
        <v>0.00279134682484299</v>
      </c>
    </row>
    <row r="103" customFormat="false" ht="15" hidden="false" customHeight="false" outlineLevel="0" collapsed="false">
      <c r="A103" s="31" t="n">
        <v>99</v>
      </c>
      <c r="B103" s="32" t="s">
        <v>186</v>
      </c>
      <c r="C103" s="31" t="s">
        <v>82</v>
      </c>
      <c r="D103" s="33" t="n">
        <v>0.1</v>
      </c>
      <c r="E103" s="34" t="n">
        <v>10000</v>
      </c>
      <c r="F103" s="35" t="n">
        <f aca="false">D103*E103</f>
        <v>1000</v>
      </c>
      <c r="G103" s="36" t="n">
        <f aca="false">E103/$E$182</f>
        <v>0.000558269364968597</v>
      </c>
    </row>
    <row r="104" customFormat="false" ht="15" hidden="false" customHeight="false" outlineLevel="0" collapsed="false">
      <c r="A104" s="37" t="n">
        <v>100</v>
      </c>
      <c r="B104" s="38" t="s">
        <v>187</v>
      </c>
      <c r="C104" s="37" t="s">
        <v>82</v>
      </c>
      <c r="D104" s="39" t="n">
        <v>0.1</v>
      </c>
      <c r="E104" s="40" t="n">
        <v>2000</v>
      </c>
      <c r="F104" s="41" t="n">
        <f aca="false">D104*E104</f>
        <v>200</v>
      </c>
      <c r="G104" s="42" t="n">
        <f aca="false">E104/$E$182</f>
        <v>0.000111653872993719</v>
      </c>
    </row>
    <row r="105" customFormat="false" ht="15" hidden="false" customHeight="false" outlineLevel="0" collapsed="false">
      <c r="A105" s="31" t="n">
        <v>101</v>
      </c>
      <c r="B105" s="32" t="s">
        <v>188</v>
      </c>
      <c r="C105" s="31" t="s">
        <v>82</v>
      </c>
      <c r="D105" s="33" t="n">
        <v>0.1</v>
      </c>
      <c r="E105" s="34" t="n">
        <v>2000</v>
      </c>
      <c r="F105" s="35" t="n">
        <f aca="false">D105*E105</f>
        <v>200</v>
      </c>
      <c r="G105" s="36" t="n">
        <f aca="false">E105/$E$182</f>
        <v>0.000111653872993719</v>
      </c>
    </row>
    <row r="106" customFormat="false" ht="15" hidden="false" customHeight="false" outlineLevel="0" collapsed="false">
      <c r="A106" s="37" t="n">
        <v>102</v>
      </c>
      <c r="B106" s="38" t="s">
        <v>189</v>
      </c>
      <c r="C106" s="37" t="s">
        <v>82</v>
      </c>
      <c r="D106" s="39" t="n">
        <v>0.1</v>
      </c>
      <c r="E106" s="40" t="n">
        <v>2000</v>
      </c>
      <c r="F106" s="41" t="n">
        <f aca="false">D106*E106</f>
        <v>200</v>
      </c>
      <c r="G106" s="42" t="n">
        <f aca="false">E106/$E$182</f>
        <v>0.000111653872993719</v>
      </c>
    </row>
    <row r="107" customFormat="false" ht="15" hidden="false" customHeight="false" outlineLevel="0" collapsed="false">
      <c r="A107" s="31" t="n">
        <v>103</v>
      </c>
      <c r="B107" s="32" t="s">
        <v>190</v>
      </c>
      <c r="C107" s="31" t="s">
        <v>82</v>
      </c>
      <c r="D107" s="33" t="n">
        <v>0.1</v>
      </c>
      <c r="E107" s="34" t="n">
        <v>10000</v>
      </c>
      <c r="F107" s="35" t="n">
        <f aca="false">D107*E107</f>
        <v>1000</v>
      </c>
      <c r="G107" s="36" t="n">
        <f aca="false">E107/$E$182</f>
        <v>0.000558269364968597</v>
      </c>
    </row>
    <row r="108" customFormat="false" ht="15" hidden="false" customHeight="false" outlineLevel="0" collapsed="false">
      <c r="A108" s="37" t="n">
        <v>104</v>
      </c>
      <c r="B108" s="38" t="s">
        <v>191</v>
      </c>
      <c r="C108" s="37" t="s">
        <v>82</v>
      </c>
      <c r="D108" s="39" t="n">
        <v>0.1</v>
      </c>
      <c r="E108" s="40" t="n">
        <v>15000</v>
      </c>
      <c r="F108" s="41" t="n">
        <f aca="false">D108*E108</f>
        <v>1500</v>
      </c>
      <c r="G108" s="42" t="n">
        <f aca="false">E108/$E$182</f>
        <v>0.000837404047452896</v>
      </c>
    </row>
    <row r="109" customFormat="false" ht="15" hidden="false" customHeight="false" outlineLevel="0" collapsed="false">
      <c r="A109" s="31" t="n">
        <v>105</v>
      </c>
      <c r="B109" s="32" t="s">
        <v>192</v>
      </c>
      <c r="C109" s="31" t="s">
        <v>82</v>
      </c>
      <c r="D109" s="33" t="n">
        <v>0.1</v>
      </c>
      <c r="E109" s="34" t="n">
        <v>20000</v>
      </c>
      <c r="F109" s="35" t="n">
        <f aca="false">D109*E109</f>
        <v>2000</v>
      </c>
      <c r="G109" s="36" t="n">
        <f aca="false">E109/$E$182</f>
        <v>0.00111653872993719</v>
      </c>
    </row>
    <row r="110" customFormat="false" ht="15" hidden="false" customHeight="false" outlineLevel="0" collapsed="false">
      <c r="A110" s="37" t="n">
        <v>106</v>
      </c>
      <c r="B110" s="38" t="s">
        <v>193</v>
      </c>
      <c r="C110" s="37" t="s">
        <v>82</v>
      </c>
      <c r="D110" s="39" t="n">
        <v>0.1</v>
      </c>
      <c r="E110" s="40" t="n">
        <v>10000</v>
      </c>
      <c r="F110" s="41" t="n">
        <f aca="false">D110*E110</f>
        <v>1000</v>
      </c>
      <c r="G110" s="42" t="n">
        <f aca="false">E110/$E$182</f>
        <v>0.000558269364968597</v>
      </c>
    </row>
    <row r="111" customFormat="false" ht="15" hidden="false" customHeight="false" outlineLevel="0" collapsed="false">
      <c r="A111" s="31" t="n">
        <v>107</v>
      </c>
      <c r="B111" s="32" t="s">
        <v>194</v>
      </c>
      <c r="C111" s="31" t="s">
        <v>82</v>
      </c>
      <c r="D111" s="33" t="n">
        <v>0.1</v>
      </c>
      <c r="E111" s="34" t="n">
        <v>10000</v>
      </c>
      <c r="F111" s="35" t="n">
        <f aca="false">D111*E111</f>
        <v>1000</v>
      </c>
      <c r="G111" s="36" t="n">
        <f aca="false">E111/$E$182</f>
        <v>0.000558269364968597</v>
      </c>
    </row>
    <row r="112" customFormat="false" ht="15" hidden="false" customHeight="false" outlineLevel="0" collapsed="false">
      <c r="A112" s="37" t="n">
        <v>108</v>
      </c>
      <c r="B112" s="38" t="s">
        <v>195</v>
      </c>
      <c r="C112" s="37" t="s">
        <v>82</v>
      </c>
      <c r="D112" s="39" t="n">
        <v>0.1</v>
      </c>
      <c r="E112" s="40" t="n">
        <v>20000</v>
      </c>
      <c r="F112" s="41" t="n">
        <f aca="false">D112*E112</f>
        <v>2000</v>
      </c>
      <c r="G112" s="42" t="n">
        <f aca="false">E112/$E$182</f>
        <v>0.00111653872993719</v>
      </c>
    </row>
    <row r="113" customFormat="false" ht="15" hidden="false" customHeight="false" outlineLevel="0" collapsed="false">
      <c r="A113" s="31" t="n">
        <v>109</v>
      </c>
      <c r="B113" s="32" t="s">
        <v>196</v>
      </c>
      <c r="C113" s="31" t="s">
        <v>82</v>
      </c>
      <c r="D113" s="33" t="n">
        <v>0.1</v>
      </c>
      <c r="E113" s="34" t="n">
        <v>10000</v>
      </c>
      <c r="F113" s="35" t="n">
        <f aca="false">D113*E113</f>
        <v>1000</v>
      </c>
      <c r="G113" s="36" t="n">
        <f aca="false">E113/$E$182</f>
        <v>0.000558269364968597</v>
      </c>
    </row>
    <row r="114" customFormat="false" ht="15" hidden="false" customHeight="false" outlineLevel="0" collapsed="false">
      <c r="A114" s="37" t="n">
        <v>110</v>
      </c>
      <c r="B114" s="38" t="s">
        <v>197</v>
      </c>
      <c r="C114" s="37" t="s">
        <v>82</v>
      </c>
      <c r="D114" s="39" t="n">
        <v>0.1</v>
      </c>
      <c r="E114" s="40" t="n">
        <v>10000</v>
      </c>
      <c r="F114" s="41" t="n">
        <f aca="false">D114*E114</f>
        <v>1000</v>
      </c>
      <c r="G114" s="42" t="n">
        <f aca="false">E114/$E$182</f>
        <v>0.000558269364968597</v>
      </c>
    </row>
    <row r="115" customFormat="false" ht="15" hidden="false" customHeight="false" outlineLevel="0" collapsed="false">
      <c r="A115" s="31" t="n">
        <v>111</v>
      </c>
      <c r="B115" s="32" t="s">
        <v>198</v>
      </c>
      <c r="C115" s="31" t="s">
        <v>82</v>
      </c>
      <c r="D115" s="33" t="n">
        <v>0.1</v>
      </c>
      <c r="E115" s="34" t="n">
        <v>150000</v>
      </c>
      <c r="F115" s="35" t="n">
        <f aca="false">D115*E115</f>
        <v>15000</v>
      </c>
      <c r="G115" s="36" t="n">
        <f aca="false">E115/$E$182</f>
        <v>0.00837404047452896</v>
      </c>
    </row>
    <row r="116" customFormat="false" ht="15" hidden="false" customHeight="false" outlineLevel="0" collapsed="false">
      <c r="A116" s="37" t="n">
        <v>112</v>
      </c>
      <c r="B116" s="38" t="s">
        <v>199</v>
      </c>
      <c r="C116" s="37" t="s">
        <v>82</v>
      </c>
      <c r="D116" s="39" t="n">
        <v>0.1</v>
      </c>
      <c r="E116" s="40" t="n">
        <v>10000</v>
      </c>
      <c r="F116" s="41" t="n">
        <f aca="false">D116*E116</f>
        <v>1000</v>
      </c>
      <c r="G116" s="42" t="n">
        <f aca="false">E116/$E$182</f>
        <v>0.000558269364968597</v>
      </c>
    </row>
    <row r="117" customFormat="false" ht="15" hidden="false" customHeight="false" outlineLevel="0" collapsed="false">
      <c r="A117" s="31" t="n">
        <v>113</v>
      </c>
      <c r="B117" s="32" t="s">
        <v>200</v>
      </c>
      <c r="C117" s="31" t="s">
        <v>82</v>
      </c>
      <c r="D117" s="33" t="n">
        <v>0.1</v>
      </c>
      <c r="E117" s="34" t="n">
        <v>75000</v>
      </c>
      <c r="F117" s="35" t="n">
        <f aca="false">D117*E117</f>
        <v>7500</v>
      </c>
      <c r="G117" s="36" t="n">
        <f aca="false">E117/$E$182</f>
        <v>0.00418702023726448</v>
      </c>
    </row>
    <row r="118" customFormat="false" ht="15" hidden="false" customHeight="false" outlineLevel="0" collapsed="false">
      <c r="A118" s="37" t="n">
        <v>114</v>
      </c>
      <c r="B118" s="38" t="s">
        <v>201</v>
      </c>
      <c r="C118" s="37" t="s">
        <v>82</v>
      </c>
      <c r="D118" s="39" t="n">
        <v>0.1</v>
      </c>
      <c r="E118" s="40" t="n">
        <v>75000</v>
      </c>
      <c r="F118" s="41" t="n">
        <f aca="false">D118*E118</f>
        <v>7500</v>
      </c>
      <c r="G118" s="42" t="n">
        <f aca="false">E118/$E$182</f>
        <v>0.00418702023726448</v>
      </c>
    </row>
    <row r="119" customFormat="false" ht="15" hidden="false" customHeight="false" outlineLevel="0" collapsed="false">
      <c r="A119" s="31" t="n">
        <v>115</v>
      </c>
      <c r="B119" s="32" t="s">
        <v>202</v>
      </c>
      <c r="C119" s="31" t="s">
        <v>82</v>
      </c>
      <c r="D119" s="33" t="n">
        <v>0.1</v>
      </c>
      <c r="E119" s="34" t="n">
        <v>20000</v>
      </c>
      <c r="F119" s="35" t="n">
        <f aca="false">D119*E119</f>
        <v>2000</v>
      </c>
      <c r="G119" s="36" t="n">
        <f aca="false">E119/$E$182</f>
        <v>0.00111653872993719</v>
      </c>
    </row>
    <row r="120" customFormat="false" ht="15" hidden="false" customHeight="false" outlineLevel="0" collapsed="false">
      <c r="A120" s="37" t="n">
        <v>116</v>
      </c>
      <c r="B120" s="38" t="s">
        <v>203</v>
      </c>
      <c r="C120" s="37" t="s">
        <v>82</v>
      </c>
      <c r="D120" s="39" t="n">
        <v>0.1</v>
      </c>
      <c r="E120" s="40" t="n">
        <v>5000</v>
      </c>
      <c r="F120" s="41" t="n">
        <f aca="false">D120*E120</f>
        <v>500</v>
      </c>
      <c r="G120" s="42" t="n">
        <f aca="false">E120/$E$182</f>
        <v>0.000279134682484299</v>
      </c>
    </row>
    <row r="121" customFormat="false" ht="15" hidden="false" customHeight="false" outlineLevel="0" collapsed="false">
      <c r="A121" s="31" t="n">
        <v>117</v>
      </c>
      <c r="B121" s="32" t="s">
        <v>204</v>
      </c>
      <c r="C121" s="31" t="s">
        <v>82</v>
      </c>
      <c r="D121" s="33" t="n">
        <v>0.1</v>
      </c>
      <c r="E121" s="34" t="n">
        <v>20000</v>
      </c>
      <c r="F121" s="35" t="n">
        <f aca="false">D121*E121</f>
        <v>2000</v>
      </c>
      <c r="G121" s="36" t="n">
        <f aca="false">E121/$E$182</f>
        <v>0.00111653872993719</v>
      </c>
    </row>
    <row r="122" customFormat="false" ht="15" hidden="false" customHeight="false" outlineLevel="0" collapsed="false">
      <c r="A122" s="37" t="n">
        <v>118</v>
      </c>
      <c r="B122" s="38" t="s">
        <v>205</v>
      </c>
      <c r="C122" s="37" t="s">
        <v>82</v>
      </c>
      <c r="D122" s="39" t="n">
        <v>0.1</v>
      </c>
      <c r="E122" s="40" t="n">
        <v>2000</v>
      </c>
      <c r="F122" s="41" t="n">
        <f aca="false">D122*E122</f>
        <v>200</v>
      </c>
      <c r="G122" s="42" t="n">
        <f aca="false">E122/$E$182</f>
        <v>0.000111653872993719</v>
      </c>
    </row>
    <row r="123" customFormat="false" ht="15" hidden="false" customHeight="false" outlineLevel="0" collapsed="false">
      <c r="A123" s="31" t="n">
        <v>119</v>
      </c>
      <c r="B123" s="32" t="s">
        <v>206</v>
      </c>
      <c r="C123" s="31" t="s">
        <v>82</v>
      </c>
      <c r="D123" s="33" t="n">
        <v>0.1</v>
      </c>
      <c r="E123" s="34" t="n">
        <v>4000</v>
      </c>
      <c r="F123" s="35" t="n">
        <f aca="false">D123*E123</f>
        <v>400</v>
      </c>
      <c r="G123" s="36" t="n">
        <f aca="false">E123/$E$182</f>
        <v>0.000223307745987439</v>
      </c>
    </row>
    <row r="124" customFormat="false" ht="15" hidden="false" customHeight="false" outlineLevel="0" collapsed="false">
      <c r="A124" s="37" t="n">
        <v>120</v>
      </c>
      <c r="B124" s="38" t="s">
        <v>207</v>
      </c>
      <c r="C124" s="37" t="s">
        <v>82</v>
      </c>
      <c r="D124" s="39" t="n">
        <v>0.1</v>
      </c>
      <c r="E124" s="40" t="n">
        <v>2500</v>
      </c>
      <c r="F124" s="41" t="n">
        <f aca="false">D124*E124</f>
        <v>250</v>
      </c>
      <c r="G124" s="42" t="n">
        <f aca="false">E124/$E$182</f>
        <v>0.000139567341242149</v>
      </c>
    </row>
    <row r="125" customFormat="false" ht="15" hidden="false" customHeight="false" outlineLevel="0" collapsed="false">
      <c r="A125" s="31" t="n">
        <v>121</v>
      </c>
      <c r="B125" s="32" t="s">
        <v>208</v>
      </c>
      <c r="C125" s="31" t="s">
        <v>82</v>
      </c>
      <c r="D125" s="33" t="n">
        <v>0.1</v>
      </c>
      <c r="E125" s="34" t="n">
        <v>2500</v>
      </c>
      <c r="F125" s="35" t="n">
        <f aca="false">D125*E125</f>
        <v>250</v>
      </c>
      <c r="G125" s="36" t="n">
        <f aca="false">E125/$E$182</f>
        <v>0.000139567341242149</v>
      </c>
    </row>
    <row r="126" customFormat="false" ht="15" hidden="false" customHeight="false" outlineLevel="0" collapsed="false">
      <c r="A126" s="37" t="n">
        <v>122</v>
      </c>
      <c r="B126" s="38" t="s">
        <v>209</v>
      </c>
      <c r="C126" s="37" t="s">
        <v>82</v>
      </c>
      <c r="D126" s="39" t="n">
        <v>0.1</v>
      </c>
      <c r="E126" s="40" t="n">
        <v>10000</v>
      </c>
      <c r="F126" s="41" t="n">
        <f aca="false">D126*E126</f>
        <v>1000</v>
      </c>
      <c r="G126" s="42" t="n">
        <f aca="false">E126/$E$182</f>
        <v>0.000558269364968597</v>
      </c>
    </row>
    <row r="127" customFormat="false" ht="15" hidden="false" customHeight="false" outlineLevel="0" collapsed="false">
      <c r="A127" s="31" t="n">
        <v>123</v>
      </c>
      <c r="B127" s="32" t="s">
        <v>210</v>
      </c>
      <c r="C127" s="31" t="s">
        <v>82</v>
      </c>
      <c r="D127" s="33" t="n">
        <v>0.1</v>
      </c>
      <c r="E127" s="34" t="n">
        <v>2000</v>
      </c>
      <c r="F127" s="35" t="n">
        <f aca="false">D127*E127</f>
        <v>200</v>
      </c>
      <c r="G127" s="36" t="n">
        <f aca="false">E127/$E$182</f>
        <v>0.000111653872993719</v>
      </c>
    </row>
    <row r="128" customFormat="false" ht="15" hidden="false" customHeight="false" outlineLevel="0" collapsed="false">
      <c r="A128" s="37" t="n">
        <v>124</v>
      </c>
      <c r="B128" s="38" t="s">
        <v>211</v>
      </c>
      <c r="C128" s="37" t="s">
        <v>82</v>
      </c>
      <c r="D128" s="39" t="n">
        <v>0.1</v>
      </c>
      <c r="E128" s="40" t="n">
        <v>4000</v>
      </c>
      <c r="F128" s="41" t="n">
        <f aca="false">D128*E128</f>
        <v>400</v>
      </c>
      <c r="G128" s="42" t="n">
        <f aca="false">E128/$E$182</f>
        <v>0.000223307745987439</v>
      </c>
    </row>
    <row r="129" customFormat="false" ht="15" hidden="false" customHeight="false" outlineLevel="0" collapsed="false">
      <c r="A129" s="31" t="n">
        <v>125</v>
      </c>
      <c r="B129" s="32" t="s">
        <v>212</v>
      </c>
      <c r="C129" s="31" t="s">
        <v>82</v>
      </c>
      <c r="D129" s="33" t="n">
        <v>0.1</v>
      </c>
      <c r="E129" s="34" t="n">
        <v>5000</v>
      </c>
      <c r="F129" s="35" t="n">
        <f aca="false">D129*E129</f>
        <v>500</v>
      </c>
      <c r="G129" s="36" t="n">
        <f aca="false">E129/$E$182</f>
        <v>0.000279134682484299</v>
      </c>
    </row>
    <row r="130" customFormat="false" ht="15" hidden="false" customHeight="false" outlineLevel="0" collapsed="false">
      <c r="A130" s="37" t="n">
        <v>126</v>
      </c>
      <c r="B130" s="38" t="s">
        <v>213</v>
      </c>
      <c r="C130" s="37" t="s">
        <v>82</v>
      </c>
      <c r="D130" s="39" t="n">
        <v>0.1</v>
      </c>
      <c r="E130" s="40" t="n">
        <v>20000</v>
      </c>
      <c r="F130" s="41" t="n">
        <f aca="false">D130*E130</f>
        <v>2000</v>
      </c>
      <c r="G130" s="42" t="n">
        <f aca="false">E130/$E$182</f>
        <v>0.00111653872993719</v>
      </c>
    </row>
    <row r="131" customFormat="false" ht="15" hidden="false" customHeight="false" outlineLevel="0" collapsed="false">
      <c r="A131" s="31" t="n">
        <v>127</v>
      </c>
      <c r="B131" s="32" t="s">
        <v>214</v>
      </c>
      <c r="C131" s="31" t="s">
        <v>82</v>
      </c>
      <c r="D131" s="33" t="n">
        <v>0.1</v>
      </c>
      <c r="E131" s="34" t="n">
        <v>200000</v>
      </c>
      <c r="F131" s="35" t="n">
        <f aca="false">D131*E131</f>
        <v>20000</v>
      </c>
      <c r="G131" s="36" t="n">
        <f aca="false">E131/$E$182</f>
        <v>0.0111653872993719</v>
      </c>
    </row>
    <row r="132" customFormat="false" ht="15" hidden="false" customHeight="false" outlineLevel="0" collapsed="false">
      <c r="A132" s="37" t="n">
        <v>128</v>
      </c>
      <c r="B132" s="38" t="s">
        <v>215</v>
      </c>
      <c r="C132" s="37" t="s">
        <v>82</v>
      </c>
      <c r="D132" s="39" t="n">
        <v>0.1</v>
      </c>
      <c r="E132" s="40" t="n">
        <v>25000</v>
      </c>
      <c r="F132" s="41" t="n">
        <f aca="false">D132*E132</f>
        <v>2500</v>
      </c>
      <c r="G132" s="42" t="n">
        <f aca="false">E132/$E$182</f>
        <v>0.00139567341242149</v>
      </c>
    </row>
    <row r="133" customFormat="false" ht="15" hidden="false" customHeight="false" outlineLevel="0" collapsed="false">
      <c r="A133" s="31" t="n">
        <v>129</v>
      </c>
      <c r="B133" s="32" t="s">
        <v>216</v>
      </c>
      <c r="C133" s="31" t="s">
        <v>82</v>
      </c>
      <c r="D133" s="33" t="n">
        <v>0.1</v>
      </c>
      <c r="E133" s="34" t="n">
        <v>10000</v>
      </c>
      <c r="F133" s="35" t="n">
        <f aca="false">D133*E133</f>
        <v>1000</v>
      </c>
      <c r="G133" s="36" t="n">
        <f aca="false">E133/$E$182</f>
        <v>0.000558269364968597</v>
      </c>
    </row>
    <row r="134" customFormat="false" ht="15" hidden="false" customHeight="false" outlineLevel="0" collapsed="false">
      <c r="A134" s="37" t="n">
        <v>130</v>
      </c>
      <c r="B134" s="38" t="s">
        <v>217</v>
      </c>
      <c r="C134" s="37" t="s">
        <v>82</v>
      </c>
      <c r="D134" s="39" t="n">
        <v>0.1</v>
      </c>
      <c r="E134" s="40" t="n">
        <v>50000</v>
      </c>
      <c r="F134" s="41" t="n">
        <f aca="false">D134*E134</f>
        <v>5000</v>
      </c>
      <c r="G134" s="42" t="n">
        <f aca="false">E134/$E$182</f>
        <v>0.00279134682484299</v>
      </c>
    </row>
    <row r="135" customFormat="false" ht="23.85" hidden="false" customHeight="false" outlineLevel="0" collapsed="false">
      <c r="A135" s="31" t="n">
        <v>131</v>
      </c>
      <c r="B135" s="32" t="s">
        <v>218</v>
      </c>
      <c r="C135" s="31" t="s">
        <v>82</v>
      </c>
      <c r="D135" s="33" t="n">
        <v>0.1</v>
      </c>
      <c r="E135" s="34" t="n">
        <v>10000</v>
      </c>
      <c r="F135" s="35" t="n">
        <f aca="false">D135*E135</f>
        <v>1000</v>
      </c>
      <c r="G135" s="36" t="n">
        <f aca="false">E135/$E$182</f>
        <v>0.000558269364968597</v>
      </c>
    </row>
    <row r="136" customFormat="false" ht="15" hidden="false" customHeight="false" outlineLevel="0" collapsed="false">
      <c r="A136" s="37" t="n">
        <v>132</v>
      </c>
      <c r="B136" s="38" t="s">
        <v>219</v>
      </c>
      <c r="C136" s="37" t="s">
        <v>82</v>
      </c>
      <c r="D136" s="39" t="n">
        <v>0.1</v>
      </c>
      <c r="E136" s="40" t="n">
        <v>2000</v>
      </c>
      <c r="F136" s="41" t="n">
        <f aca="false">D136*E136</f>
        <v>200</v>
      </c>
      <c r="G136" s="42" t="n">
        <f aca="false">E136/$E$182</f>
        <v>0.000111653872993719</v>
      </c>
    </row>
    <row r="137" customFormat="false" ht="15" hidden="false" customHeight="false" outlineLevel="0" collapsed="false">
      <c r="A137" s="31" t="n">
        <v>133</v>
      </c>
      <c r="B137" s="32" t="s">
        <v>220</v>
      </c>
      <c r="C137" s="31" t="s">
        <v>82</v>
      </c>
      <c r="D137" s="33" t="n">
        <v>0.1</v>
      </c>
      <c r="E137" s="34" t="n">
        <v>25000</v>
      </c>
      <c r="F137" s="35" t="n">
        <f aca="false">D137*E137</f>
        <v>2500</v>
      </c>
      <c r="G137" s="36" t="n">
        <f aca="false">E137/$E$182</f>
        <v>0.00139567341242149</v>
      </c>
    </row>
    <row r="138" customFormat="false" ht="15" hidden="false" customHeight="false" outlineLevel="0" collapsed="false">
      <c r="A138" s="37" t="n">
        <v>134</v>
      </c>
      <c r="B138" s="38" t="s">
        <v>221</v>
      </c>
      <c r="C138" s="37" t="s">
        <v>82</v>
      </c>
      <c r="D138" s="39" t="n">
        <v>0.1</v>
      </c>
      <c r="E138" s="40" t="n">
        <v>20000</v>
      </c>
      <c r="F138" s="41" t="n">
        <f aca="false">D138*E138</f>
        <v>2000</v>
      </c>
      <c r="G138" s="42" t="n">
        <f aca="false">E138/$E$182</f>
        <v>0.00111653872993719</v>
      </c>
    </row>
    <row r="139" customFormat="false" ht="15" hidden="false" customHeight="false" outlineLevel="0" collapsed="false">
      <c r="A139" s="31" t="n">
        <v>135</v>
      </c>
      <c r="B139" s="32" t="s">
        <v>222</v>
      </c>
      <c r="C139" s="31" t="s">
        <v>82</v>
      </c>
      <c r="D139" s="33" t="n">
        <v>0.1</v>
      </c>
      <c r="E139" s="34" t="n">
        <v>2500</v>
      </c>
      <c r="F139" s="35" t="n">
        <f aca="false">D139*E139</f>
        <v>250</v>
      </c>
      <c r="G139" s="36" t="n">
        <f aca="false">E139/$E$182</f>
        <v>0.000139567341242149</v>
      </c>
    </row>
    <row r="140" customFormat="false" ht="15" hidden="false" customHeight="false" outlineLevel="0" collapsed="false">
      <c r="A140" s="37" t="n">
        <v>136</v>
      </c>
      <c r="B140" s="38" t="s">
        <v>223</v>
      </c>
      <c r="C140" s="37" t="s">
        <v>82</v>
      </c>
      <c r="D140" s="39" t="n">
        <v>0.1</v>
      </c>
      <c r="E140" s="40" t="n">
        <v>5000</v>
      </c>
      <c r="F140" s="41" t="n">
        <f aca="false">D140*E140</f>
        <v>500</v>
      </c>
      <c r="G140" s="42" t="n">
        <f aca="false">E140/$E$182</f>
        <v>0.000279134682484299</v>
      </c>
    </row>
    <row r="141" customFormat="false" ht="15" hidden="false" customHeight="false" outlineLevel="0" collapsed="false">
      <c r="A141" s="31" t="n">
        <v>137</v>
      </c>
      <c r="B141" s="32" t="s">
        <v>224</v>
      </c>
      <c r="C141" s="31" t="s">
        <v>82</v>
      </c>
      <c r="D141" s="33" t="n">
        <v>0.1</v>
      </c>
      <c r="E141" s="34" t="n">
        <v>50000</v>
      </c>
      <c r="F141" s="35" t="n">
        <f aca="false">D141*E141</f>
        <v>5000</v>
      </c>
      <c r="G141" s="36" t="n">
        <f aca="false">E141/$E$182</f>
        <v>0.00279134682484299</v>
      </c>
    </row>
    <row r="142" customFormat="false" ht="15" hidden="false" customHeight="false" outlineLevel="0" collapsed="false">
      <c r="A142" s="37" t="n">
        <v>138</v>
      </c>
      <c r="B142" s="38" t="s">
        <v>225</v>
      </c>
      <c r="C142" s="37" t="s">
        <v>82</v>
      </c>
      <c r="D142" s="39" t="n">
        <v>0.1</v>
      </c>
      <c r="E142" s="40" t="n">
        <v>10000</v>
      </c>
      <c r="F142" s="41" t="n">
        <f aca="false">D142*E142</f>
        <v>1000</v>
      </c>
      <c r="G142" s="42" t="n">
        <f aca="false">E142/$E$182</f>
        <v>0.000558269364968597</v>
      </c>
    </row>
    <row r="143" customFormat="false" ht="15" hidden="false" customHeight="false" outlineLevel="0" collapsed="false">
      <c r="A143" s="31" t="n">
        <v>139</v>
      </c>
      <c r="B143" s="32" t="s">
        <v>226</v>
      </c>
      <c r="C143" s="31" t="s">
        <v>82</v>
      </c>
      <c r="D143" s="33" t="n">
        <v>0.1</v>
      </c>
      <c r="E143" s="34" t="n">
        <v>5000</v>
      </c>
      <c r="F143" s="35" t="n">
        <f aca="false">D143*E143</f>
        <v>500</v>
      </c>
      <c r="G143" s="36" t="n">
        <f aca="false">E143/$E$182</f>
        <v>0.000279134682484299</v>
      </c>
    </row>
    <row r="144" customFormat="false" ht="15" hidden="false" customHeight="false" outlineLevel="0" collapsed="false">
      <c r="A144" s="37" t="n">
        <v>140</v>
      </c>
      <c r="B144" s="38" t="s">
        <v>227</v>
      </c>
      <c r="C144" s="37" t="s">
        <v>82</v>
      </c>
      <c r="D144" s="39" t="n">
        <v>0.1</v>
      </c>
      <c r="E144" s="40" t="n">
        <v>10000</v>
      </c>
      <c r="F144" s="41" t="n">
        <f aca="false">D144*E144</f>
        <v>1000</v>
      </c>
      <c r="G144" s="42" t="n">
        <f aca="false">E144/$E$182</f>
        <v>0.000558269364968597</v>
      </c>
    </row>
    <row r="145" customFormat="false" ht="15" hidden="false" customHeight="false" outlineLevel="0" collapsed="false">
      <c r="A145" s="31" t="n">
        <v>141</v>
      </c>
      <c r="B145" s="32" t="s">
        <v>228</v>
      </c>
      <c r="C145" s="31" t="s">
        <v>82</v>
      </c>
      <c r="D145" s="33" t="n">
        <v>0.1</v>
      </c>
      <c r="E145" s="34" t="n">
        <v>25000</v>
      </c>
      <c r="F145" s="35" t="n">
        <f aca="false">D145*E145</f>
        <v>2500</v>
      </c>
      <c r="G145" s="36" t="n">
        <f aca="false">E145/$E$182</f>
        <v>0.00139567341242149</v>
      </c>
    </row>
    <row r="146" customFormat="false" ht="15" hidden="false" customHeight="false" outlineLevel="0" collapsed="false">
      <c r="A146" s="37" t="n">
        <v>142</v>
      </c>
      <c r="B146" s="38" t="s">
        <v>229</v>
      </c>
      <c r="C146" s="37" t="s">
        <v>82</v>
      </c>
      <c r="D146" s="39" t="n">
        <v>0.1</v>
      </c>
      <c r="E146" s="40" t="n">
        <v>6000</v>
      </c>
      <c r="F146" s="41" t="n">
        <f aca="false">D146*E146</f>
        <v>600</v>
      </c>
      <c r="G146" s="42" t="n">
        <f aca="false">E146/$E$182</f>
        <v>0.000334961618981158</v>
      </c>
    </row>
    <row r="147" customFormat="false" ht="15" hidden="false" customHeight="false" outlineLevel="0" collapsed="false">
      <c r="A147" s="31" t="n">
        <v>143</v>
      </c>
      <c r="B147" s="32" t="s">
        <v>230</v>
      </c>
      <c r="C147" s="31" t="s">
        <v>82</v>
      </c>
      <c r="D147" s="33" t="n">
        <v>0.1</v>
      </c>
      <c r="E147" s="34" t="n">
        <v>10000</v>
      </c>
      <c r="F147" s="35" t="n">
        <f aca="false">D147*E147</f>
        <v>1000</v>
      </c>
      <c r="G147" s="36" t="n">
        <f aca="false">E147/$E$182</f>
        <v>0.000558269364968597</v>
      </c>
    </row>
    <row r="148" customFormat="false" ht="15" hidden="false" customHeight="false" outlineLevel="0" collapsed="false">
      <c r="A148" s="37" t="n">
        <v>144</v>
      </c>
      <c r="B148" s="38" t="s">
        <v>231</v>
      </c>
      <c r="C148" s="37" t="s">
        <v>82</v>
      </c>
      <c r="D148" s="39" t="n">
        <v>0.1</v>
      </c>
      <c r="E148" s="40" t="n">
        <v>20000</v>
      </c>
      <c r="F148" s="41" t="n">
        <f aca="false">D148*E148</f>
        <v>2000</v>
      </c>
      <c r="G148" s="42" t="n">
        <f aca="false">E148/$E$182</f>
        <v>0.00111653872993719</v>
      </c>
    </row>
    <row r="149" customFormat="false" ht="15" hidden="false" customHeight="false" outlineLevel="0" collapsed="false">
      <c r="A149" s="31" t="n">
        <v>145</v>
      </c>
      <c r="B149" s="32" t="s">
        <v>232</v>
      </c>
      <c r="C149" s="31" t="s">
        <v>82</v>
      </c>
      <c r="D149" s="33" t="n">
        <v>0.1</v>
      </c>
      <c r="E149" s="34" t="n">
        <v>25000</v>
      </c>
      <c r="F149" s="35" t="n">
        <f aca="false">D149*E149</f>
        <v>2500</v>
      </c>
      <c r="G149" s="36" t="n">
        <f aca="false">E149/$E$182</f>
        <v>0.00139567341242149</v>
      </c>
    </row>
    <row r="150" customFormat="false" ht="15" hidden="false" customHeight="false" outlineLevel="0" collapsed="false">
      <c r="A150" s="37" t="n">
        <v>146</v>
      </c>
      <c r="B150" s="38" t="s">
        <v>233</v>
      </c>
      <c r="C150" s="37" t="s">
        <v>82</v>
      </c>
      <c r="D150" s="39" t="n">
        <v>0.1</v>
      </c>
      <c r="E150" s="40" t="n">
        <v>20000</v>
      </c>
      <c r="F150" s="41" t="n">
        <f aca="false">D150*E150</f>
        <v>2000</v>
      </c>
      <c r="G150" s="42" t="n">
        <f aca="false">E150/$E$182</f>
        <v>0.00111653872993719</v>
      </c>
    </row>
    <row r="151" customFormat="false" ht="15" hidden="false" customHeight="false" outlineLevel="0" collapsed="false">
      <c r="A151" s="31" t="n">
        <v>147</v>
      </c>
      <c r="B151" s="32" t="s">
        <v>234</v>
      </c>
      <c r="C151" s="31" t="s">
        <v>82</v>
      </c>
      <c r="D151" s="33" t="n">
        <v>0.1</v>
      </c>
      <c r="E151" s="34" t="n">
        <v>10000</v>
      </c>
      <c r="F151" s="35" t="n">
        <f aca="false">D151*E151</f>
        <v>1000</v>
      </c>
      <c r="G151" s="36" t="n">
        <f aca="false">E151/$E$182</f>
        <v>0.000558269364968597</v>
      </c>
    </row>
    <row r="152" customFormat="false" ht="15" hidden="false" customHeight="false" outlineLevel="0" collapsed="false">
      <c r="A152" s="37" t="n">
        <v>148</v>
      </c>
      <c r="B152" s="38" t="s">
        <v>235</v>
      </c>
      <c r="C152" s="37" t="s">
        <v>82</v>
      </c>
      <c r="D152" s="39" t="n">
        <v>0.1</v>
      </c>
      <c r="E152" s="40" t="n">
        <v>10000</v>
      </c>
      <c r="F152" s="41" t="n">
        <f aca="false">D152*E152</f>
        <v>1000</v>
      </c>
      <c r="G152" s="42" t="n">
        <f aca="false">E152/$E$182</f>
        <v>0.000558269364968597</v>
      </c>
    </row>
    <row r="153" customFormat="false" ht="15" hidden="false" customHeight="false" outlineLevel="0" collapsed="false">
      <c r="A153" s="31" t="n">
        <v>149</v>
      </c>
      <c r="B153" s="32" t="s">
        <v>236</v>
      </c>
      <c r="C153" s="31" t="s">
        <v>82</v>
      </c>
      <c r="D153" s="33" t="n">
        <v>0.1</v>
      </c>
      <c r="E153" s="34" t="n">
        <v>30000</v>
      </c>
      <c r="F153" s="35" t="n">
        <f aca="false">D153*E153</f>
        <v>3000</v>
      </c>
      <c r="G153" s="36" t="n">
        <f aca="false">E153/$E$182</f>
        <v>0.00167480809490579</v>
      </c>
    </row>
    <row r="154" customFormat="false" ht="15" hidden="false" customHeight="false" outlineLevel="0" collapsed="false">
      <c r="A154" s="37" t="n">
        <v>150</v>
      </c>
      <c r="B154" s="38" t="s">
        <v>237</v>
      </c>
      <c r="C154" s="37" t="s">
        <v>82</v>
      </c>
      <c r="D154" s="39" t="n">
        <v>0.1</v>
      </c>
      <c r="E154" s="40" t="n">
        <v>50000</v>
      </c>
      <c r="F154" s="41" t="n">
        <f aca="false">D154*E154</f>
        <v>5000</v>
      </c>
      <c r="G154" s="42" t="n">
        <f aca="false">E154/$E$182</f>
        <v>0.00279134682484299</v>
      </c>
    </row>
    <row r="155" customFormat="false" ht="15" hidden="false" customHeight="false" outlineLevel="0" collapsed="false">
      <c r="A155" s="31" t="n">
        <v>151</v>
      </c>
      <c r="B155" s="32" t="s">
        <v>238</v>
      </c>
      <c r="C155" s="31" t="s">
        <v>82</v>
      </c>
      <c r="D155" s="33" t="n">
        <v>0.1</v>
      </c>
      <c r="E155" s="34" t="n">
        <v>25000</v>
      </c>
      <c r="F155" s="35" t="n">
        <f aca="false">D155*E155</f>
        <v>2500</v>
      </c>
      <c r="G155" s="36" t="n">
        <f aca="false">E155/$E$182</f>
        <v>0.00139567341242149</v>
      </c>
    </row>
    <row r="156" customFormat="false" ht="15" hidden="false" customHeight="false" outlineLevel="0" collapsed="false">
      <c r="A156" s="37" t="n">
        <v>152</v>
      </c>
      <c r="B156" s="38" t="s">
        <v>239</v>
      </c>
      <c r="C156" s="37" t="s">
        <v>82</v>
      </c>
      <c r="D156" s="39" t="n">
        <v>0.1</v>
      </c>
      <c r="E156" s="40" t="n">
        <v>10000</v>
      </c>
      <c r="F156" s="41" t="n">
        <f aca="false">D156*E156</f>
        <v>1000</v>
      </c>
      <c r="G156" s="42" t="n">
        <f aca="false">E156/$E$182</f>
        <v>0.000558269364968597</v>
      </c>
    </row>
    <row r="157" customFormat="false" ht="15" hidden="false" customHeight="false" outlineLevel="0" collapsed="false">
      <c r="A157" s="31" t="n">
        <v>153</v>
      </c>
      <c r="B157" s="32" t="s">
        <v>240</v>
      </c>
      <c r="C157" s="31" t="s">
        <v>82</v>
      </c>
      <c r="D157" s="33" t="n">
        <v>0.1</v>
      </c>
      <c r="E157" s="34" t="n">
        <v>10000</v>
      </c>
      <c r="F157" s="35" t="n">
        <f aca="false">D157*E157</f>
        <v>1000</v>
      </c>
      <c r="G157" s="36" t="n">
        <f aca="false">E157/$E$182</f>
        <v>0.000558269364968597</v>
      </c>
    </row>
    <row r="158" customFormat="false" ht="15" hidden="false" customHeight="false" outlineLevel="0" collapsed="false">
      <c r="A158" s="37" t="n">
        <v>154</v>
      </c>
      <c r="B158" s="38" t="s">
        <v>241</v>
      </c>
      <c r="C158" s="37" t="s">
        <v>82</v>
      </c>
      <c r="D158" s="39" t="n">
        <v>0.1</v>
      </c>
      <c r="E158" s="40" t="n">
        <v>10000</v>
      </c>
      <c r="F158" s="41" t="n">
        <f aca="false">D158*E158</f>
        <v>1000</v>
      </c>
      <c r="G158" s="42" t="n">
        <f aca="false">E158/$E$182</f>
        <v>0.000558269364968597</v>
      </c>
    </row>
    <row r="159" customFormat="false" ht="15" hidden="false" customHeight="false" outlineLevel="0" collapsed="false">
      <c r="A159" s="31" t="n">
        <v>155</v>
      </c>
      <c r="B159" s="32" t="s">
        <v>242</v>
      </c>
      <c r="C159" s="31" t="s">
        <v>82</v>
      </c>
      <c r="D159" s="33" t="n">
        <v>0.1</v>
      </c>
      <c r="E159" s="34" t="n">
        <v>10000</v>
      </c>
      <c r="F159" s="35" t="n">
        <f aca="false">D159*E159</f>
        <v>1000</v>
      </c>
      <c r="G159" s="36" t="n">
        <f aca="false">E159/$E$182</f>
        <v>0.000558269364968597</v>
      </c>
    </row>
    <row r="160" customFormat="false" ht="15" hidden="false" customHeight="false" outlineLevel="0" collapsed="false">
      <c r="A160" s="37" t="n">
        <v>156</v>
      </c>
      <c r="B160" s="38" t="s">
        <v>243</v>
      </c>
      <c r="C160" s="37" t="s">
        <v>82</v>
      </c>
      <c r="D160" s="39" t="n">
        <v>0.1</v>
      </c>
      <c r="E160" s="40" t="n">
        <v>10000</v>
      </c>
      <c r="F160" s="41" t="n">
        <f aca="false">D160*E160</f>
        <v>1000</v>
      </c>
      <c r="G160" s="42" t="n">
        <f aca="false">E160/$E$182</f>
        <v>0.000558269364968597</v>
      </c>
    </row>
    <row r="161" customFormat="false" ht="15" hidden="false" customHeight="false" outlineLevel="0" collapsed="false">
      <c r="A161" s="31" t="n">
        <v>157</v>
      </c>
      <c r="B161" s="32" t="s">
        <v>244</v>
      </c>
      <c r="C161" s="31" t="s">
        <v>82</v>
      </c>
      <c r="D161" s="33" t="n">
        <v>0.1</v>
      </c>
      <c r="E161" s="34" t="n">
        <v>10000</v>
      </c>
      <c r="F161" s="35" t="n">
        <f aca="false">D161*E161</f>
        <v>1000</v>
      </c>
      <c r="G161" s="36" t="n">
        <f aca="false">E161/$E$182</f>
        <v>0.000558269364968597</v>
      </c>
    </row>
    <row r="162" customFormat="false" ht="15" hidden="false" customHeight="false" outlineLevel="0" collapsed="false">
      <c r="A162" s="37" t="n">
        <v>158</v>
      </c>
      <c r="B162" s="38" t="s">
        <v>245</v>
      </c>
      <c r="C162" s="37" t="s">
        <v>82</v>
      </c>
      <c r="D162" s="39" t="n">
        <v>0.1</v>
      </c>
      <c r="E162" s="40" t="n">
        <v>2000</v>
      </c>
      <c r="F162" s="41" t="n">
        <f aca="false">D162*E162</f>
        <v>200</v>
      </c>
      <c r="G162" s="42" t="n">
        <f aca="false">E162/$E$182</f>
        <v>0.000111653872993719</v>
      </c>
    </row>
    <row r="163" customFormat="false" ht="15" hidden="false" customHeight="false" outlineLevel="0" collapsed="false">
      <c r="A163" s="31" t="n">
        <v>159</v>
      </c>
      <c r="B163" s="32" t="s">
        <v>246</v>
      </c>
      <c r="C163" s="31" t="s">
        <v>82</v>
      </c>
      <c r="D163" s="33" t="n">
        <v>0.1</v>
      </c>
      <c r="E163" s="34" t="n">
        <v>10000</v>
      </c>
      <c r="F163" s="35" t="n">
        <f aca="false">D163*E163</f>
        <v>1000</v>
      </c>
      <c r="G163" s="36" t="n">
        <f aca="false">E163/$E$182</f>
        <v>0.000558269364968597</v>
      </c>
    </row>
    <row r="164" customFormat="false" ht="23.85" hidden="false" customHeight="false" outlineLevel="0" collapsed="false">
      <c r="A164" s="37" t="n">
        <v>160</v>
      </c>
      <c r="B164" s="38" t="s">
        <v>247</v>
      </c>
      <c r="C164" s="37" t="s">
        <v>82</v>
      </c>
      <c r="D164" s="39" t="n">
        <v>0.1</v>
      </c>
      <c r="E164" s="40" t="n">
        <v>20000</v>
      </c>
      <c r="F164" s="41" t="n">
        <f aca="false">D164*E164</f>
        <v>2000</v>
      </c>
      <c r="G164" s="42" t="n">
        <f aca="false">E164/$E$182</f>
        <v>0.00111653872993719</v>
      </c>
    </row>
    <row r="165" customFormat="false" ht="15" hidden="false" customHeight="false" outlineLevel="0" collapsed="false">
      <c r="A165" s="31" t="n">
        <v>161</v>
      </c>
      <c r="B165" s="32" t="s">
        <v>248</v>
      </c>
      <c r="C165" s="31" t="s">
        <v>82</v>
      </c>
      <c r="D165" s="33" t="n">
        <v>0.1</v>
      </c>
      <c r="E165" s="34" t="n">
        <v>4200</v>
      </c>
      <c r="F165" s="35" t="n">
        <f aca="false">D165*E165</f>
        <v>420</v>
      </c>
      <c r="G165" s="36" t="n">
        <f aca="false">E165/$E$182</f>
        <v>0.000234473133286811</v>
      </c>
    </row>
    <row r="166" customFormat="false" ht="15" hidden="false" customHeight="false" outlineLevel="0" collapsed="false">
      <c r="A166" s="37" t="n">
        <v>162</v>
      </c>
      <c r="B166" s="38" t="s">
        <v>249</v>
      </c>
      <c r="C166" s="37" t="s">
        <v>82</v>
      </c>
      <c r="D166" s="39" t="n">
        <v>0.1</v>
      </c>
      <c r="E166" s="40" t="n">
        <v>15000</v>
      </c>
      <c r="F166" s="41" t="n">
        <f aca="false">D166*E166</f>
        <v>1500</v>
      </c>
      <c r="G166" s="42" t="n">
        <f aca="false">E166/$E$182</f>
        <v>0.000837404047452896</v>
      </c>
    </row>
    <row r="167" customFormat="false" ht="23.85" hidden="false" customHeight="false" outlineLevel="0" collapsed="false">
      <c r="A167" s="31" t="n">
        <v>163</v>
      </c>
      <c r="B167" s="32" t="s">
        <v>250</v>
      </c>
      <c r="C167" s="31" t="s">
        <v>82</v>
      </c>
      <c r="D167" s="33" t="n">
        <v>0.1</v>
      </c>
      <c r="E167" s="34" t="n">
        <v>50000</v>
      </c>
      <c r="F167" s="35" t="n">
        <f aca="false">D167*E167</f>
        <v>5000</v>
      </c>
      <c r="G167" s="36" t="n">
        <f aca="false">E167/$E$182</f>
        <v>0.00279134682484299</v>
      </c>
    </row>
    <row r="168" customFormat="false" ht="15" hidden="false" customHeight="false" outlineLevel="0" collapsed="false">
      <c r="A168" s="37" t="n">
        <v>164</v>
      </c>
      <c r="B168" s="38" t="s">
        <v>251</v>
      </c>
      <c r="C168" s="37" t="s">
        <v>82</v>
      </c>
      <c r="D168" s="39" t="n">
        <v>0.1</v>
      </c>
      <c r="E168" s="40" t="n">
        <v>25000</v>
      </c>
      <c r="F168" s="41" t="n">
        <f aca="false">D168*E168</f>
        <v>2500</v>
      </c>
      <c r="G168" s="42" t="n">
        <f aca="false">E168/$E$182</f>
        <v>0.00139567341242149</v>
      </c>
    </row>
    <row r="169" customFormat="false" ht="15" hidden="false" customHeight="false" outlineLevel="0" collapsed="false">
      <c r="A169" s="31" t="n">
        <v>165</v>
      </c>
      <c r="B169" s="32" t="s">
        <v>252</v>
      </c>
      <c r="C169" s="31" t="s">
        <v>82</v>
      </c>
      <c r="D169" s="33" t="n">
        <v>0.1</v>
      </c>
      <c r="E169" s="34" t="n">
        <v>25000</v>
      </c>
      <c r="F169" s="35" t="n">
        <f aca="false">D169*E169</f>
        <v>2500</v>
      </c>
      <c r="G169" s="36" t="n">
        <f aca="false">E169/$E$182</f>
        <v>0.00139567341242149</v>
      </c>
    </row>
    <row r="170" customFormat="false" ht="15" hidden="false" customHeight="false" outlineLevel="0" collapsed="false">
      <c r="A170" s="37" t="n">
        <v>166</v>
      </c>
      <c r="B170" s="38" t="s">
        <v>253</v>
      </c>
      <c r="C170" s="37" t="s">
        <v>82</v>
      </c>
      <c r="D170" s="39" t="n">
        <v>0.1</v>
      </c>
      <c r="E170" s="40" t="n">
        <v>25000</v>
      </c>
      <c r="F170" s="41" t="n">
        <f aca="false">D170*E170</f>
        <v>2500</v>
      </c>
      <c r="G170" s="42" t="n">
        <f aca="false">E170/$E$182</f>
        <v>0.00139567341242149</v>
      </c>
    </row>
    <row r="171" customFormat="false" ht="15" hidden="false" customHeight="false" outlineLevel="0" collapsed="false">
      <c r="A171" s="31" t="n">
        <v>167</v>
      </c>
      <c r="B171" s="32" t="s">
        <v>254</v>
      </c>
      <c r="C171" s="31" t="s">
        <v>82</v>
      </c>
      <c r="D171" s="33" t="n">
        <v>0.1</v>
      </c>
      <c r="E171" s="34" t="n">
        <v>30000</v>
      </c>
      <c r="F171" s="35" t="n">
        <f aca="false">D171*E171</f>
        <v>3000</v>
      </c>
      <c r="G171" s="36" t="n">
        <f aca="false">E171/$E$182</f>
        <v>0.00167480809490579</v>
      </c>
    </row>
    <row r="172" customFormat="false" ht="15" hidden="false" customHeight="false" outlineLevel="0" collapsed="false">
      <c r="A172" s="37" t="n">
        <v>168</v>
      </c>
      <c r="B172" s="38" t="s">
        <v>255</v>
      </c>
      <c r="C172" s="37" t="s">
        <v>256</v>
      </c>
      <c r="D172" s="39" t="n">
        <v>0.1</v>
      </c>
      <c r="E172" s="40" t="n">
        <v>7810800</v>
      </c>
      <c r="F172" s="41" t="n">
        <f aca="false">D172*E172</f>
        <v>781080</v>
      </c>
      <c r="G172" s="42" t="n">
        <f aca="false">E172/$E$182</f>
        <v>0.436053035589672</v>
      </c>
    </row>
    <row r="173" customFormat="false" ht="15" hidden="false" customHeight="false" outlineLevel="0" collapsed="false">
      <c r="A173" s="31" t="n">
        <v>169</v>
      </c>
      <c r="B173" s="32" t="s">
        <v>257</v>
      </c>
      <c r="C173" s="31" t="s">
        <v>256</v>
      </c>
      <c r="D173" s="33" t="n">
        <v>0.1</v>
      </c>
      <c r="E173" s="34" t="n">
        <v>1240000</v>
      </c>
      <c r="F173" s="35" t="n">
        <f aca="false">D173*E173</f>
        <v>124000</v>
      </c>
      <c r="G173" s="36" t="n">
        <f aca="false">E173/$E$182</f>
        <v>0.0692254012561061</v>
      </c>
    </row>
    <row r="174" customFormat="false" ht="15" hidden="false" customHeight="false" outlineLevel="0" collapsed="false">
      <c r="A174" s="37" t="n">
        <v>170</v>
      </c>
      <c r="B174" s="38" t="s">
        <v>258</v>
      </c>
      <c r="C174" s="37" t="s">
        <v>256</v>
      </c>
      <c r="D174" s="39" t="n">
        <v>0.1</v>
      </c>
      <c r="E174" s="40" t="n">
        <v>100000</v>
      </c>
      <c r="F174" s="41" t="n">
        <f aca="false">D174*E174</f>
        <v>10000</v>
      </c>
      <c r="G174" s="42" t="n">
        <f aca="false">E174/$E$182</f>
        <v>0.00558269364968597</v>
      </c>
    </row>
    <row r="175" customFormat="false" ht="15" hidden="false" customHeight="false" outlineLevel="0" collapsed="false">
      <c r="A175" s="31" t="n">
        <v>171</v>
      </c>
      <c r="B175" s="32" t="s">
        <v>259</v>
      </c>
      <c r="C175" s="31" t="s">
        <v>256</v>
      </c>
      <c r="D175" s="33" t="n">
        <v>0.1</v>
      </c>
      <c r="E175" s="34" t="n">
        <v>180000</v>
      </c>
      <c r="F175" s="35" t="n">
        <f aca="false">D175*E175</f>
        <v>18000</v>
      </c>
      <c r="G175" s="36" t="n">
        <f aca="false">E175/$E$182</f>
        <v>0.0100488485694348</v>
      </c>
    </row>
    <row r="176" customFormat="false" ht="15" hidden="false" customHeight="false" outlineLevel="0" collapsed="false">
      <c r="A176" s="37" t="n">
        <v>172</v>
      </c>
      <c r="B176" s="38" t="s">
        <v>260</v>
      </c>
      <c r="C176" s="37" t="s">
        <v>256</v>
      </c>
      <c r="D176" s="39" t="n">
        <v>0.1</v>
      </c>
      <c r="E176" s="40" t="n">
        <v>150000</v>
      </c>
      <c r="F176" s="41" t="n">
        <f aca="false">D176*E176</f>
        <v>15000</v>
      </c>
      <c r="G176" s="42" t="n">
        <f aca="false">E176/$E$182</f>
        <v>0.00837404047452896</v>
      </c>
    </row>
    <row r="177" customFormat="false" ht="15" hidden="false" customHeight="false" outlineLevel="0" collapsed="false">
      <c r="A177" s="31" t="n">
        <v>173</v>
      </c>
      <c r="B177" s="32" t="s">
        <v>261</v>
      </c>
      <c r="C177" s="31" t="s">
        <v>256</v>
      </c>
      <c r="D177" s="33" t="n">
        <v>0.1</v>
      </c>
      <c r="E177" s="34" t="n">
        <v>500000</v>
      </c>
      <c r="F177" s="35" t="n">
        <f aca="false">D177*E177</f>
        <v>50000</v>
      </c>
      <c r="G177" s="36" t="n">
        <f aca="false">E177/$E$182</f>
        <v>0.0279134682484299</v>
      </c>
    </row>
    <row r="178" customFormat="false" ht="15" hidden="false" customHeight="false" outlineLevel="0" collapsed="false">
      <c r="A178" s="37" t="n">
        <v>174</v>
      </c>
      <c r="B178" s="38" t="s">
        <v>262</v>
      </c>
      <c r="C178" s="37" t="s">
        <v>256</v>
      </c>
      <c r="D178" s="39" t="n">
        <v>0.1</v>
      </c>
      <c r="E178" s="40" t="n">
        <v>50000</v>
      </c>
      <c r="F178" s="41" t="n">
        <f aca="false">D178*E178</f>
        <v>5000</v>
      </c>
      <c r="G178" s="42" t="n">
        <f aca="false">E178/$E$182</f>
        <v>0.00279134682484299</v>
      </c>
    </row>
    <row r="179" customFormat="false" ht="15" hidden="false" customHeight="false" outlineLevel="0" collapsed="false">
      <c r="A179" s="31" t="n">
        <v>175</v>
      </c>
      <c r="B179" s="32" t="s">
        <v>263</v>
      </c>
      <c r="C179" s="31" t="s">
        <v>256</v>
      </c>
      <c r="D179" s="33" t="n">
        <v>0.1</v>
      </c>
      <c r="E179" s="34" t="n">
        <v>50000</v>
      </c>
      <c r="F179" s="35" t="n">
        <f aca="false">D179*E179</f>
        <v>5000</v>
      </c>
      <c r="G179" s="36" t="n">
        <f aca="false">E179/$E$182</f>
        <v>0.00279134682484299</v>
      </c>
    </row>
    <row r="180" customFormat="false" ht="15" hidden="false" customHeight="false" outlineLevel="0" collapsed="false">
      <c r="A180" s="37" t="n">
        <v>176</v>
      </c>
      <c r="B180" s="38" t="s">
        <v>264</v>
      </c>
      <c r="C180" s="37" t="s">
        <v>256</v>
      </c>
      <c r="D180" s="39" t="n">
        <v>0.1</v>
      </c>
      <c r="E180" s="40" t="n">
        <v>2500000</v>
      </c>
      <c r="F180" s="41" t="n">
        <f aca="false">D180*E180</f>
        <v>250000</v>
      </c>
      <c r="G180" s="42" t="n">
        <f aca="false">E180/$E$182</f>
        <v>0.139567341242149</v>
      </c>
    </row>
    <row r="181" customFormat="false" ht="15" hidden="false" customHeight="false" outlineLevel="0" collapsed="false">
      <c r="A181" s="31" t="n">
        <v>177</v>
      </c>
      <c r="B181" s="32" t="s">
        <v>265</v>
      </c>
      <c r="C181" s="31" t="s">
        <v>75</v>
      </c>
      <c r="D181" s="33" t="n">
        <v>0.5</v>
      </c>
      <c r="E181" s="34" t="n">
        <v>900000</v>
      </c>
      <c r="F181" s="35" t="n">
        <f aca="false">D181*E181</f>
        <v>450000</v>
      </c>
      <c r="G181" s="36" t="n">
        <f aca="false">E181/$E$182</f>
        <v>0.0502442428471738</v>
      </c>
    </row>
    <row r="182" customFormat="false" ht="15" hidden="false" customHeight="false" outlineLevel="0" collapsed="false">
      <c r="A182" s="43"/>
      <c r="B182" s="44" t="s">
        <v>77</v>
      </c>
      <c r="C182" s="43"/>
      <c r="D182" s="43"/>
      <c r="E182" s="44" t="n">
        <f aca="false">SUM(E5:E181)</f>
        <v>17912500</v>
      </c>
      <c r="F182" s="48" t="n">
        <f aca="false">SUM(F5:F181)</f>
        <v>2151250</v>
      </c>
      <c r="G182" s="47" t="n">
        <f aca="false">SUM(G5:G181)</f>
        <v>1</v>
      </c>
    </row>
    <row r="184" customFormat="false" ht="15" hidden="false" customHeight="false" outlineLevel="0" collapsed="false">
      <c r="A184" s="5" t="s">
        <v>78</v>
      </c>
    </row>
    <row r="185" customFormat="false" ht="15" hidden="false" customHeight="true" outlineLevel="0" collapsed="false">
      <c r="A185" s="18" t="s">
        <v>266</v>
      </c>
      <c r="B185" s="18"/>
      <c r="C185" s="18"/>
      <c r="D185" s="18"/>
      <c r="E185" s="18"/>
      <c r="F185" s="18"/>
      <c r="G185" s="18"/>
    </row>
  </sheetData>
  <mergeCells count="3">
    <mergeCell ref="A1:G1"/>
    <mergeCell ref="A2:G2"/>
    <mergeCell ref="A185:G1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3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6" min="5" style="1" width="16"/>
  </cols>
  <sheetData>
    <row r="1" customFormat="false" ht="25.5" hidden="false" customHeight="true" outlineLevel="0" collapsed="false">
      <c r="A1" s="2" t="s">
        <v>267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268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8" t="s">
        <v>65</v>
      </c>
      <c r="B4" s="8" t="s">
        <v>66</v>
      </c>
      <c r="C4" s="8" t="s">
        <v>269</v>
      </c>
      <c r="D4" s="8" t="s">
        <v>270</v>
      </c>
      <c r="E4" s="8" t="s">
        <v>271</v>
      </c>
      <c r="F4" s="8" t="s">
        <v>272</v>
      </c>
    </row>
    <row r="5" customFormat="false" ht="15" hidden="false" customHeight="false" outlineLevel="0" collapsed="false">
      <c r="A5" s="31" t="n">
        <v>1</v>
      </c>
      <c r="B5" s="32" t="s">
        <v>273</v>
      </c>
      <c r="C5" s="49" t="n">
        <v>2022</v>
      </c>
      <c r="D5" s="33" t="n">
        <v>0.1</v>
      </c>
      <c r="E5" s="34" t="n">
        <v>100000</v>
      </c>
      <c r="F5" s="35" t="n">
        <f aca="false">D5*E5</f>
        <v>10000</v>
      </c>
    </row>
    <row r="6" customFormat="false" ht="15" hidden="false" customHeight="false" outlineLevel="0" collapsed="false">
      <c r="A6" s="37" t="n">
        <v>2</v>
      </c>
      <c r="B6" s="38" t="s">
        <v>274</v>
      </c>
      <c r="C6" s="50" t="n">
        <v>2022</v>
      </c>
      <c r="D6" s="39" t="n">
        <v>0.1</v>
      </c>
      <c r="E6" s="40" t="n">
        <v>100000</v>
      </c>
      <c r="F6" s="41" t="n">
        <f aca="false">D6*E6</f>
        <v>10000</v>
      </c>
    </row>
    <row r="7" customFormat="false" ht="15" hidden="false" customHeight="false" outlineLevel="0" collapsed="false">
      <c r="A7" s="31" t="n">
        <v>3</v>
      </c>
      <c r="B7" s="32" t="s">
        <v>204</v>
      </c>
      <c r="C7" s="49" t="n">
        <v>2022</v>
      </c>
      <c r="D7" s="33" t="n">
        <v>0.1</v>
      </c>
      <c r="E7" s="34" t="n">
        <v>10000</v>
      </c>
      <c r="F7" s="35" t="n">
        <f aca="false">D7*E7</f>
        <v>1000</v>
      </c>
    </row>
    <row r="8" customFormat="false" ht="15" hidden="false" customHeight="false" outlineLevel="0" collapsed="false">
      <c r="A8" s="37" t="n">
        <v>4</v>
      </c>
      <c r="B8" s="38" t="s">
        <v>275</v>
      </c>
      <c r="C8" s="50" t="n">
        <v>2022</v>
      </c>
      <c r="D8" s="39" t="n">
        <v>0.1</v>
      </c>
      <c r="E8" s="40" t="n">
        <v>20000</v>
      </c>
      <c r="F8" s="41" t="n">
        <f aca="false">D8*E8</f>
        <v>2000</v>
      </c>
    </row>
    <row r="9" customFormat="false" ht="15" hidden="false" customHeight="false" outlineLevel="0" collapsed="false">
      <c r="A9" s="31" t="n">
        <v>5</v>
      </c>
      <c r="B9" s="32" t="s">
        <v>276</v>
      </c>
      <c r="C9" s="49" t="n">
        <v>2022</v>
      </c>
      <c r="D9" s="33" t="n">
        <v>0.1</v>
      </c>
      <c r="E9" s="34" t="n">
        <v>40000</v>
      </c>
      <c r="F9" s="35" t="n">
        <f aca="false">D9*E9</f>
        <v>4000</v>
      </c>
    </row>
    <row r="10" customFormat="false" ht="15" hidden="false" customHeight="false" outlineLevel="0" collapsed="false">
      <c r="A10" s="37" t="n">
        <v>6</v>
      </c>
      <c r="B10" s="38" t="s">
        <v>234</v>
      </c>
      <c r="C10" s="50" t="n">
        <v>2022</v>
      </c>
      <c r="D10" s="39" t="n">
        <v>0.1</v>
      </c>
      <c r="E10" s="40" t="n">
        <v>50000</v>
      </c>
      <c r="F10" s="41" t="n">
        <f aca="false">D10*E10</f>
        <v>5000</v>
      </c>
    </row>
    <row r="11" customFormat="false" ht="15" hidden="false" customHeight="false" outlineLevel="0" collapsed="false">
      <c r="A11" s="31" t="n">
        <v>7</v>
      </c>
      <c r="B11" s="32" t="s">
        <v>277</v>
      </c>
      <c r="C11" s="49" t="n">
        <v>2022</v>
      </c>
      <c r="D11" s="33" t="n">
        <v>0.1</v>
      </c>
      <c r="E11" s="34" t="n">
        <v>100000</v>
      </c>
      <c r="F11" s="35" t="n">
        <f aca="false">D11*E11</f>
        <v>10000</v>
      </c>
    </row>
    <row r="12" customFormat="false" ht="15" hidden="false" customHeight="false" outlineLevel="0" collapsed="false">
      <c r="A12" s="37" t="n">
        <v>8</v>
      </c>
      <c r="B12" s="38" t="s">
        <v>278</v>
      </c>
      <c r="C12" s="50" t="n">
        <v>2022</v>
      </c>
      <c r="D12" s="39" t="n">
        <v>0.1</v>
      </c>
      <c r="E12" s="40" t="n">
        <v>100000</v>
      </c>
      <c r="F12" s="41" t="n">
        <f aca="false">D12*E12</f>
        <v>10000</v>
      </c>
    </row>
    <row r="13" customFormat="false" ht="15" hidden="false" customHeight="false" outlineLevel="0" collapsed="false">
      <c r="A13" s="31" t="n">
        <v>9</v>
      </c>
      <c r="B13" s="32" t="s">
        <v>121</v>
      </c>
      <c r="C13" s="49" t="n">
        <v>2022</v>
      </c>
      <c r="D13" s="33" t="n">
        <v>0.1</v>
      </c>
      <c r="E13" s="34" t="n">
        <v>100000</v>
      </c>
      <c r="F13" s="35" t="n">
        <f aca="false">D13*E13</f>
        <v>10000</v>
      </c>
    </row>
    <row r="14" customFormat="false" ht="15" hidden="false" customHeight="false" outlineLevel="0" collapsed="false">
      <c r="A14" s="37" t="n">
        <v>10</v>
      </c>
      <c r="B14" s="38" t="s">
        <v>279</v>
      </c>
      <c r="C14" s="50" t="n">
        <v>2022</v>
      </c>
      <c r="D14" s="39" t="n">
        <v>0.1</v>
      </c>
      <c r="E14" s="40" t="n">
        <v>25000</v>
      </c>
      <c r="F14" s="41" t="n">
        <f aca="false">D14*E14</f>
        <v>2500</v>
      </c>
    </row>
    <row r="15" customFormat="false" ht="15" hidden="false" customHeight="false" outlineLevel="0" collapsed="false">
      <c r="A15" s="31" t="n">
        <v>11</v>
      </c>
      <c r="B15" s="32" t="s">
        <v>280</v>
      </c>
      <c r="C15" s="49" t="n">
        <v>2022</v>
      </c>
      <c r="D15" s="33" t="n">
        <v>0.1</v>
      </c>
      <c r="E15" s="34" t="n">
        <v>27500</v>
      </c>
      <c r="F15" s="35" t="n">
        <f aca="false">D15*E15</f>
        <v>2750</v>
      </c>
    </row>
    <row r="16" customFormat="false" ht="15" hidden="false" customHeight="false" outlineLevel="0" collapsed="false">
      <c r="A16" s="37" t="n">
        <v>12</v>
      </c>
      <c r="B16" s="38" t="s">
        <v>281</v>
      </c>
      <c r="C16" s="50" t="n">
        <v>2022</v>
      </c>
      <c r="D16" s="39" t="n">
        <v>0.1</v>
      </c>
      <c r="E16" s="40" t="n">
        <v>50000</v>
      </c>
      <c r="F16" s="41" t="n">
        <f aca="false">D16*E16</f>
        <v>5000</v>
      </c>
    </row>
    <row r="17" customFormat="false" ht="15" hidden="false" customHeight="false" outlineLevel="0" collapsed="false">
      <c r="A17" s="31" t="n">
        <v>13</v>
      </c>
      <c r="B17" s="32" t="s">
        <v>282</v>
      </c>
      <c r="C17" s="49" t="n">
        <v>2022</v>
      </c>
      <c r="D17" s="33" t="n">
        <v>0.1</v>
      </c>
      <c r="E17" s="34" t="n">
        <v>100000</v>
      </c>
      <c r="F17" s="35" t="n">
        <f aca="false">D17*E17</f>
        <v>10000</v>
      </c>
    </row>
    <row r="18" customFormat="false" ht="15" hidden="false" customHeight="false" outlineLevel="0" collapsed="false">
      <c r="A18" s="37" t="n">
        <v>14</v>
      </c>
      <c r="B18" s="38" t="s">
        <v>283</v>
      </c>
      <c r="C18" s="50" t="n">
        <v>2022</v>
      </c>
      <c r="D18" s="39" t="n">
        <v>0.1</v>
      </c>
      <c r="E18" s="40" t="n">
        <v>100000</v>
      </c>
      <c r="F18" s="41" t="n">
        <f aca="false">D18*E18</f>
        <v>10000</v>
      </c>
    </row>
    <row r="19" customFormat="false" ht="15" hidden="false" customHeight="false" outlineLevel="0" collapsed="false">
      <c r="A19" s="31" t="n">
        <v>15</v>
      </c>
      <c r="B19" s="32" t="s">
        <v>168</v>
      </c>
      <c r="C19" s="49" t="n">
        <v>2022</v>
      </c>
      <c r="D19" s="33" t="n">
        <v>0.1</v>
      </c>
      <c r="E19" s="34" t="n">
        <v>20000</v>
      </c>
      <c r="F19" s="35" t="n">
        <f aca="false">D19*E19</f>
        <v>2000</v>
      </c>
    </row>
    <row r="20" customFormat="false" ht="15" hidden="false" customHeight="false" outlineLevel="0" collapsed="false">
      <c r="A20" s="37" t="n">
        <v>16</v>
      </c>
      <c r="B20" s="38" t="s">
        <v>284</v>
      </c>
      <c r="C20" s="50" t="n">
        <v>2022</v>
      </c>
      <c r="D20" s="39" t="n">
        <v>0.1</v>
      </c>
      <c r="E20" s="40" t="n">
        <v>50000</v>
      </c>
      <c r="F20" s="41" t="n">
        <f aca="false">D20*E20</f>
        <v>5000</v>
      </c>
    </row>
    <row r="21" customFormat="false" ht="15" hidden="false" customHeight="false" outlineLevel="0" collapsed="false">
      <c r="A21" s="31" t="n">
        <v>17</v>
      </c>
      <c r="B21" s="32" t="s">
        <v>285</v>
      </c>
      <c r="C21" s="49" t="n">
        <v>2022</v>
      </c>
      <c r="D21" s="33" t="n">
        <v>0.1</v>
      </c>
      <c r="E21" s="34" t="n">
        <v>50000</v>
      </c>
      <c r="F21" s="35" t="n">
        <f aca="false">D21*E21</f>
        <v>5000</v>
      </c>
    </row>
    <row r="22" customFormat="false" ht="15" hidden="false" customHeight="false" outlineLevel="0" collapsed="false">
      <c r="A22" s="37" t="n">
        <v>18</v>
      </c>
      <c r="B22" s="38" t="s">
        <v>286</v>
      </c>
      <c r="C22" s="50" t="n">
        <v>2022</v>
      </c>
      <c r="D22" s="39" t="n">
        <v>0.1</v>
      </c>
      <c r="E22" s="40" t="n">
        <v>50000</v>
      </c>
      <c r="F22" s="41" t="n">
        <f aca="false">D22*E22</f>
        <v>5000</v>
      </c>
    </row>
    <row r="23" customFormat="false" ht="15" hidden="false" customHeight="false" outlineLevel="0" collapsed="false">
      <c r="A23" s="31" t="n">
        <v>19</v>
      </c>
      <c r="B23" s="32" t="s">
        <v>287</v>
      </c>
      <c r="C23" s="49" t="n">
        <v>2022</v>
      </c>
      <c r="D23" s="33" t="n">
        <v>0.1</v>
      </c>
      <c r="E23" s="34" t="n">
        <v>100000</v>
      </c>
      <c r="F23" s="35" t="n">
        <f aca="false">D23*E23</f>
        <v>10000</v>
      </c>
    </row>
    <row r="24" customFormat="false" ht="15" hidden="false" customHeight="false" outlineLevel="0" collapsed="false">
      <c r="A24" s="37" t="n">
        <v>20</v>
      </c>
      <c r="B24" s="38" t="s">
        <v>288</v>
      </c>
      <c r="C24" s="50" t="n">
        <v>2022</v>
      </c>
      <c r="D24" s="39" t="n">
        <v>0.1</v>
      </c>
      <c r="E24" s="40" t="n">
        <v>10000</v>
      </c>
      <c r="F24" s="41" t="n">
        <f aca="false">D24*E24</f>
        <v>1000</v>
      </c>
    </row>
    <row r="25" customFormat="false" ht="15" hidden="false" customHeight="false" outlineLevel="0" collapsed="false">
      <c r="A25" s="31" t="n">
        <v>21</v>
      </c>
      <c r="B25" s="32" t="s">
        <v>289</v>
      </c>
      <c r="C25" s="49" t="n">
        <v>2022</v>
      </c>
      <c r="D25" s="33" t="n">
        <v>0.1</v>
      </c>
      <c r="E25" s="34" t="n">
        <v>50000</v>
      </c>
      <c r="F25" s="35" t="n">
        <f aca="false">D25*E25</f>
        <v>5000</v>
      </c>
    </row>
    <row r="26" customFormat="false" ht="15" hidden="false" customHeight="false" outlineLevel="0" collapsed="false">
      <c r="A26" s="37" t="n">
        <v>22</v>
      </c>
      <c r="B26" s="38" t="s">
        <v>182</v>
      </c>
      <c r="C26" s="50" t="n">
        <v>2022</v>
      </c>
      <c r="D26" s="39" t="n">
        <v>0.1</v>
      </c>
      <c r="E26" s="40" t="n">
        <v>50000</v>
      </c>
      <c r="F26" s="41" t="n">
        <f aca="false">D26*E26</f>
        <v>5000</v>
      </c>
    </row>
    <row r="27" customFormat="false" ht="15" hidden="false" customHeight="false" outlineLevel="0" collapsed="false">
      <c r="A27" s="31" t="n">
        <v>23</v>
      </c>
      <c r="B27" s="32" t="s">
        <v>290</v>
      </c>
      <c r="C27" s="49" t="n">
        <v>2022</v>
      </c>
      <c r="D27" s="33" t="n">
        <v>0.1</v>
      </c>
      <c r="E27" s="34" t="n">
        <v>100000</v>
      </c>
      <c r="F27" s="35" t="n">
        <f aca="false">D27*E27</f>
        <v>10000</v>
      </c>
    </row>
    <row r="28" customFormat="false" ht="15" hidden="false" customHeight="false" outlineLevel="0" collapsed="false">
      <c r="A28" s="37" t="n">
        <v>24</v>
      </c>
      <c r="B28" s="38" t="s">
        <v>291</v>
      </c>
      <c r="C28" s="50" t="n">
        <v>2022</v>
      </c>
      <c r="D28" s="39" t="n">
        <v>0.1</v>
      </c>
      <c r="E28" s="40" t="n">
        <v>50000</v>
      </c>
      <c r="F28" s="41" t="n">
        <f aca="false">D28*E28</f>
        <v>5000</v>
      </c>
    </row>
    <row r="29" customFormat="false" ht="15" hidden="false" customHeight="false" outlineLevel="0" collapsed="false">
      <c r="A29" s="31" t="n">
        <v>25</v>
      </c>
      <c r="B29" s="32" t="s">
        <v>292</v>
      </c>
      <c r="C29" s="49" t="n">
        <v>2022</v>
      </c>
      <c r="D29" s="33" t="n">
        <v>0.1</v>
      </c>
      <c r="E29" s="34" t="n">
        <v>50000</v>
      </c>
      <c r="F29" s="35" t="n">
        <f aca="false">D29*E29</f>
        <v>5000</v>
      </c>
    </row>
    <row r="30" customFormat="false" ht="15" hidden="false" customHeight="false" outlineLevel="0" collapsed="false">
      <c r="A30" s="37" t="n">
        <v>26</v>
      </c>
      <c r="B30" s="38" t="s">
        <v>293</v>
      </c>
      <c r="C30" s="50" t="n">
        <v>2022</v>
      </c>
      <c r="D30" s="39" t="n">
        <v>0.1</v>
      </c>
      <c r="E30" s="40" t="n">
        <v>25000</v>
      </c>
      <c r="F30" s="41" t="n">
        <f aca="false">D30*E30</f>
        <v>2500</v>
      </c>
    </row>
    <row r="31" customFormat="false" ht="23.85" hidden="false" customHeight="false" outlineLevel="0" collapsed="false">
      <c r="A31" s="31" t="n">
        <v>27</v>
      </c>
      <c r="B31" s="32" t="s">
        <v>294</v>
      </c>
      <c r="C31" s="49" t="n">
        <v>2022</v>
      </c>
      <c r="D31" s="33" t="n">
        <v>0.1</v>
      </c>
      <c r="E31" s="34" t="n">
        <v>50000</v>
      </c>
      <c r="F31" s="35" t="n">
        <f aca="false">D31*E31</f>
        <v>5000</v>
      </c>
    </row>
    <row r="32" customFormat="false" ht="15" hidden="false" customHeight="false" outlineLevel="0" collapsed="false">
      <c r="A32" s="37" t="n">
        <v>28</v>
      </c>
      <c r="B32" s="38" t="s">
        <v>295</v>
      </c>
      <c r="C32" s="50" t="n">
        <v>2022</v>
      </c>
      <c r="D32" s="39" t="n">
        <v>0.1</v>
      </c>
      <c r="E32" s="40" t="n">
        <v>80000</v>
      </c>
      <c r="F32" s="41" t="n">
        <f aca="false">D32*E32</f>
        <v>8000</v>
      </c>
    </row>
    <row r="33" customFormat="false" ht="15" hidden="false" customHeight="false" outlineLevel="0" collapsed="false">
      <c r="A33" s="31" t="n">
        <v>29</v>
      </c>
      <c r="B33" s="32" t="s">
        <v>296</v>
      </c>
      <c r="C33" s="49" t="n">
        <v>2022</v>
      </c>
      <c r="D33" s="33" t="n">
        <v>0.1</v>
      </c>
      <c r="E33" s="34" t="n">
        <v>100000</v>
      </c>
      <c r="F33" s="35" t="n">
        <f aca="false">D33*E33</f>
        <v>10000</v>
      </c>
    </row>
    <row r="34" customFormat="false" ht="15" hidden="false" customHeight="false" outlineLevel="0" collapsed="false">
      <c r="A34" s="37" t="n">
        <v>30</v>
      </c>
      <c r="B34" s="38" t="s">
        <v>297</v>
      </c>
      <c r="C34" s="50" t="n">
        <v>2022</v>
      </c>
      <c r="D34" s="39" t="n">
        <v>0.1</v>
      </c>
      <c r="E34" s="40" t="n">
        <v>50000</v>
      </c>
      <c r="F34" s="41" t="n">
        <f aca="false">D34*E34</f>
        <v>5000</v>
      </c>
    </row>
    <row r="35" customFormat="false" ht="15" hidden="false" customHeight="false" outlineLevel="0" collapsed="false">
      <c r="A35" s="31" t="n">
        <v>31</v>
      </c>
      <c r="B35" s="32" t="s">
        <v>298</v>
      </c>
      <c r="C35" s="49" t="n">
        <v>2022</v>
      </c>
      <c r="D35" s="33" t="n">
        <v>0.1</v>
      </c>
      <c r="E35" s="34" t="n">
        <v>50000</v>
      </c>
      <c r="F35" s="35" t="n">
        <f aca="false">D35*E35</f>
        <v>5000</v>
      </c>
    </row>
    <row r="36" customFormat="false" ht="15" hidden="false" customHeight="false" outlineLevel="0" collapsed="false">
      <c r="A36" s="37" t="n">
        <v>32</v>
      </c>
      <c r="B36" s="38" t="s">
        <v>299</v>
      </c>
      <c r="C36" s="50" t="n">
        <v>2022</v>
      </c>
      <c r="D36" s="39" t="n">
        <v>0.1</v>
      </c>
      <c r="E36" s="40" t="n">
        <v>50000</v>
      </c>
      <c r="F36" s="41" t="n">
        <f aca="false">D36*E36</f>
        <v>5000</v>
      </c>
    </row>
    <row r="37" customFormat="false" ht="15" hidden="false" customHeight="false" outlineLevel="0" collapsed="false">
      <c r="A37" s="31" t="n">
        <v>33</v>
      </c>
      <c r="B37" s="32" t="s">
        <v>300</v>
      </c>
      <c r="C37" s="49" t="n">
        <v>2022</v>
      </c>
      <c r="D37" s="33" t="n">
        <v>0.1</v>
      </c>
      <c r="E37" s="34" t="n">
        <v>50000</v>
      </c>
      <c r="F37" s="35" t="n">
        <f aca="false">D37*E37</f>
        <v>5000</v>
      </c>
    </row>
    <row r="38" customFormat="false" ht="15" hidden="false" customHeight="false" outlineLevel="0" collapsed="false">
      <c r="A38" s="37" t="n">
        <v>34</v>
      </c>
      <c r="B38" s="38" t="s">
        <v>301</v>
      </c>
      <c r="C38" s="50" t="n">
        <v>2022</v>
      </c>
      <c r="D38" s="39" t="n">
        <v>0.1</v>
      </c>
      <c r="E38" s="40" t="n">
        <v>50000</v>
      </c>
      <c r="F38" s="41" t="n">
        <f aca="false">D38*E38</f>
        <v>5000</v>
      </c>
    </row>
    <row r="39" customFormat="false" ht="15" hidden="false" customHeight="false" outlineLevel="0" collapsed="false">
      <c r="A39" s="31" t="n">
        <v>35</v>
      </c>
      <c r="B39" s="32" t="s">
        <v>302</v>
      </c>
      <c r="C39" s="49" t="n">
        <v>2022</v>
      </c>
      <c r="D39" s="33" t="n">
        <v>0.1</v>
      </c>
      <c r="E39" s="34" t="n">
        <v>100000</v>
      </c>
      <c r="F39" s="35" t="n">
        <f aca="false">D39*E39</f>
        <v>10000</v>
      </c>
    </row>
    <row r="40" customFormat="false" ht="15" hidden="false" customHeight="false" outlineLevel="0" collapsed="false">
      <c r="A40" s="37" t="n">
        <v>36</v>
      </c>
      <c r="B40" s="38" t="s">
        <v>303</v>
      </c>
      <c r="C40" s="50" t="n">
        <v>2022</v>
      </c>
      <c r="D40" s="39" t="n">
        <v>0.1</v>
      </c>
      <c r="E40" s="40" t="n">
        <v>50000</v>
      </c>
      <c r="F40" s="41" t="n">
        <f aca="false">D40*E40</f>
        <v>5000</v>
      </c>
    </row>
    <row r="41" customFormat="false" ht="15" hidden="false" customHeight="false" outlineLevel="0" collapsed="false">
      <c r="A41" s="31" t="n">
        <v>37</v>
      </c>
      <c r="B41" s="32" t="s">
        <v>304</v>
      </c>
      <c r="C41" s="49" t="n">
        <v>2022</v>
      </c>
      <c r="D41" s="33" t="n">
        <v>0.1</v>
      </c>
      <c r="E41" s="34" t="n">
        <v>50000</v>
      </c>
      <c r="F41" s="35" t="n">
        <f aca="false">D41*E41</f>
        <v>5000</v>
      </c>
    </row>
    <row r="42" customFormat="false" ht="15" hidden="false" customHeight="false" outlineLevel="0" collapsed="false">
      <c r="A42" s="37" t="n">
        <v>38</v>
      </c>
      <c r="B42" s="38" t="s">
        <v>305</v>
      </c>
      <c r="C42" s="50" t="n">
        <v>2022</v>
      </c>
      <c r="D42" s="39" t="n">
        <v>0.1</v>
      </c>
      <c r="E42" s="40" t="n">
        <v>25000</v>
      </c>
      <c r="F42" s="41" t="n">
        <f aca="false">D42*E42</f>
        <v>2500</v>
      </c>
    </row>
    <row r="43" customFormat="false" ht="15" hidden="false" customHeight="false" outlineLevel="0" collapsed="false">
      <c r="A43" s="31" t="n">
        <v>39</v>
      </c>
      <c r="B43" s="32" t="s">
        <v>241</v>
      </c>
      <c r="C43" s="49" t="n">
        <v>2022</v>
      </c>
      <c r="D43" s="33" t="n">
        <v>0.1</v>
      </c>
      <c r="E43" s="34" t="n">
        <v>50000</v>
      </c>
      <c r="F43" s="35" t="n">
        <f aca="false">D43*E43</f>
        <v>5000</v>
      </c>
    </row>
    <row r="44" customFormat="false" ht="15" hidden="false" customHeight="false" outlineLevel="0" collapsed="false">
      <c r="A44" s="37" t="n">
        <v>40</v>
      </c>
      <c r="B44" s="38" t="s">
        <v>306</v>
      </c>
      <c r="C44" s="50" t="n">
        <v>2022</v>
      </c>
      <c r="D44" s="39" t="n">
        <v>0.1</v>
      </c>
      <c r="E44" s="40" t="n">
        <v>100000</v>
      </c>
      <c r="F44" s="41" t="n">
        <f aca="false">D44*E44</f>
        <v>10000</v>
      </c>
    </row>
    <row r="45" customFormat="false" ht="15" hidden="false" customHeight="false" outlineLevel="0" collapsed="false">
      <c r="A45" s="31" t="n">
        <v>41</v>
      </c>
      <c r="B45" s="32" t="s">
        <v>213</v>
      </c>
      <c r="C45" s="49" t="n">
        <v>2022</v>
      </c>
      <c r="D45" s="33" t="n">
        <v>0.1</v>
      </c>
      <c r="E45" s="34" t="n">
        <v>10000</v>
      </c>
      <c r="F45" s="35" t="n">
        <f aca="false">D45*E45</f>
        <v>1000</v>
      </c>
    </row>
    <row r="46" customFormat="false" ht="15" hidden="false" customHeight="false" outlineLevel="0" collapsed="false">
      <c r="A46" s="37" t="n">
        <v>42</v>
      </c>
      <c r="B46" s="38" t="s">
        <v>307</v>
      </c>
      <c r="C46" s="50" t="n">
        <v>2022</v>
      </c>
      <c r="D46" s="39" t="n">
        <v>0.1</v>
      </c>
      <c r="E46" s="40" t="n">
        <v>50000</v>
      </c>
      <c r="F46" s="41" t="n">
        <f aca="false">D46*E46</f>
        <v>5000</v>
      </c>
    </row>
    <row r="47" customFormat="false" ht="23.85" hidden="false" customHeight="false" outlineLevel="0" collapsed="false">
      <c r="A47" s="31" t="n">
        <v>43</v>
      </c>
      <c r="B47" s="32" t="s">
        <v>218</v>
      </c>
      <c r="C47" s="49" t="n">
        <v>2022</v>
      </c>
      <c r="D47" s="33" t="n">
        <v>0.1</v>
      </c>
      <c r="E47" s="34" t="n">
        <v>10000</v>
      </c>
      <c r="F47" s="35" t="n">
        <f aca="false">D47*E47</f>
        <v>1000</v>
      </c>
    </row>
    <row r="48" customFormat="false" ht="15" hidden="false" customHeight="false" outlineLevel="0" collapsed="false">
      <c r="A48" s="37" t="n">
        <v>44</v>
      </c>
      <c r="B48" s="38" t="s">
        <v>112</v>
      </c>
      <c r="C48" s="50" t="n">
        <v>2022</v>
      </c>
      <c r="D48" s="39" t="n">
        <v>0.1</v>
      </c>
      <c r="E48" s="40" t="n">
        <v>50000</v>
      </c>
      <c r="F48" s="41" t="n">
        <f aca="false">D48*E48</f>
        <v>5000</v>
      </c>
    </row>
    <row r="49" customFormat="false" ht="15" hidden="false" customHeight="false" outlineLevel="0" collapsed="false">
      <c r="A49" s="31" t="n">
        <v>45</v>
      </c>
      <c r="B49" s="32" t="s">
        <v>119</v>
      </c>
      <c r="C49" s="49" t="n">
        <v>2022</v>
      </c>
      <c r="D49" s="33" t="n">
        <v>0.1</v>
      </c>
      <c r="E49" s="34" t="n">
        <v>25000</v>
      </c>
      <c r="F49" s="35" t="n">
        <f aca="false">D49*E49</f>
        <v>2500</v>
      </c>
    </row>
    <row r="50" customFormat="false" ht="23.85" hidden="false" customHeight="false" outlineLevel="0" collapsed="false">
      <c r="A50" s="37" t="n">
        <v>46</v>
      </c>
      <c r="B50" s="38" t="s">
        <v>146</v>
      </c>
      <c r="C50" s="50" t="n">
        <v>2022</v>
      </c>
      <c r="D50" s="39" t="n">
        <v>0.1</v>
      </c>
      <c r="E50" s="40" t="n">
        <v>10000</v>
      </c>
      <c r="F50" s="41" t="n">
        <f aca="false">D50*E50</f>
        <v>1000</v>
      </c>
    </row>
    <row r="51" customFormat="false" ht="15" hidden="false" customHeight="false" outlineLevel="0" collapsed="false">
      <c r="A51" s="31" t="n">
        <v>47</v>
      </c>
      <c r="B51" s="32" t="s">
        <v>308</v>
      </c>
      <c r="C51" s="49" t="n">
        <v>2022</v>
      </c>
      <c r="D51" s="33" t="n">
        <v>0.1</v>
      </c>
      <c r="E51" s="34" t="n">
        <v>50000</v>
      </c>
      <c r="F51" s="35" t="n">
        <f aca="false">D51*E51</f>
        <v>5000</v>
      </c>
    </row>
    <row r="52" customFormat="false" ht="15" hidden="false" customHeight="false" outlineLevel="0" collapsed="false">
      <c r="A52" s="37" t="n">
        <v>48</v>
      </c>
      <c r="B52" s="38" t="s">
        <v>309</v>
      </c>
      <c r="C52" s="50" t="n">
        <v>2023</v>
      </c>
      <c r="D52" s="39" t="n">
        <v>0.5</v>
      </c>
      <c r="E52" s="40" t="n">
        <v>10000</v>
      </c>
      <c r="F52" s="41" t="n">
        <f aca="false">D52*E52</f>
        <v>5000</v>
      </c>
    </row>
    <row r="53" customFormat="false" ht="15" hidden="false" customHeight="false" outlineLevel="0" collapsed="false">
      <c r="A53" s="31" t="n">
        <v>49</v>
      </c>
      <c r="B53" s="32" t="s">
        <v>310</v>
      </c>
      <c r="C53" s="49" t="n">
        <v>2023</v>
      </c>
      <c r="D53" s="33" t="n">
        <v>0.5</v>
      </c>
      <c r="E53" s="34" t="n">
        <v>10000</v>
      </c>
      <c r="F53" s="35" t="n">
        <f aca="false">D53*E53</f>
        <v>5000</v>
      </c>
    </row>
    <row r="54" customFormat="false" ht="15" hidden="false" customHeight="false" outlineLevel="0" collapsed="false">
      <c r="A54" s="37" t="n">
        <v>50</v>
      </c>
      <c r="B54" s="38" t="s">
        <v>301</v>
      </c>
      <c r="C54" s="50" t="n">
        <v>2023</v>
      </c>
      <c r="D54" s="39" t="n">
        <v>0.5</v>
      </c>
      <c r="E54" s="40" t="n">
        <v>10000</v>
      </c>
      <c r="F54" s="41" t="n">
        <f aca="false">D54*E54</f>
        <v>5000</v>
      </c>
    </row>
    <row r="55" customFormat="false" ht="15" hidden="false" customHeight="false" outlineLevel="0" collapsed="false">
      <c r="A55" s="31" t="n">
        <v>51</v>
      </c>
      <c r="B55" s="32" t="s">
        <v>311</v>
      </c>
      <c r="C55" s="49" t="n">
        <v>2023</v>
      </c>
      <c r="D55" s="33" t="n">
        <v>0.5</v>
      </c>
      <c r="E55" s="34" t="n">
        <v>50000</v>
      </c>
      <c r="F55" s="35" t="n">
        <f aca="false">D55*E55</f>
        <v>25000</v>
      </c>
    </row>
    <row r="56" customFormat="false" ht="15" hidden="false" customHeight="false" outlineLevel="0" collapsed="false">
      <c r="A56" s="37" t="n">
        <v>52</v>
      </c>
      <c r="B56" s="38" t="s">
        <v>312</v>
      </c>
      <c r="C56" s="50" t="n">
        <v>2023</v>
      </c>
      <c r="D56" s="39" t="n">
        <v>0.5</v>
      </c>
      <c r="E56" s="40" t="n">
        <v>10000</v>
      </c>
      <c r="F56" s="41" t="n">
        <f aca="false">D56*E56</f>
        <v>5000</v>
      </c>
    </row>
    <row r="57" customFormat="false" ht="15" hidden="false" customHeight="false" outlineLevel="0" collapsed="false">
      <c r="A57" s="31" t="n">
        <v>53</v>
      </c>
      <c r="B57" s="32" t="s">
        <v>313</v>
      </c>
      <c r="C57" s="49" t="n">
        <v>2023</v>
      </c>
      <c r="D57" s="33" t="n">
        <v>0.5</v>
      </c>
      <c r="E57" s="34" t="n">
        <v>10000</v>
      </c>
      <c r="F57" s="35" t="n">
        <f aca="false">D57*E57</f>
        <v>5000</v>
      </c>
    </row>
    <row r="58" customFormat="false" ht="15" hidden="false" customHeight="false" outlineLevel="0" collapsed="false">
      <c r="A58" s="43"/>
      <c r="B58" s="44" t="s">
        <v>77</v>
      </c>
      <c r="C58" s="43"/>
      <c r="D58" s="43"/>
      <c r="E58" s="45" t="n">
        <f aca="false">SUM(E5:E57)</f>
        <v>2687500</v>
      </c>
      <c r="F58" s="46" t="n">
        <f aca="false">SUM(F5:F57)</f>
        <v>308750</v>
      </c>
    </row>
    <row r="60" customFormat="false" ht="15" hidden="false" customHeight="false" outlineLevel="0" collapsed="false">
      <c r="A60" s="51" t="s">
        <v>314</v>
      </c>
      <c r="B60" s="51"/>
      <c r="C60" s="51"/>
      <c r="D60" s="51"/>
      <c r="E60" s="51"/>
      <c r="F60" s="51"/>
    </row>
  </sheetData>
  <mergeCells count="3">
    <mergeCell ref="A1:F1"/>
    <mergeCell ref="A2:F2"/>
    <mergeCell ref="A60:F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.65"/>
    <col collapsed="false" customWidth="true" hidden="false" outlineLevel="0" max="2" min="2" style="1" width="36"/>
    <col collapsed="false" customWidth="true" hidden="false" outlineLevel="0" max="3" min="3" style="1" width="17.15"/>
    <col collapsed="false" customWidth="true" hidden="false" outlineLevel="0" max="4" min="4" style="1" width="21.75"/>
    <col collapsed="false" customWidth="true" hidden="false" outlineLevel="0" max="5" min="5" style="1" width="12.28"/>
    <col collapsed="false" customWidth="true" hidden="false" outlineLevel="0" max="6" min="6" style="1" width="27.68"/>
  </cols>
  <sheetData>
    <row r="1" customFormat="false" ht="25.5" hidden="false" customHeight="true" outlineLevel="0" collapsed="false">
      <c r="A1" s="2" t="s">
        <v>315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316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5" t="s">
        <v>317</v>
      </c>
    </row>
    <row r="5" customFormat="false" ht="15" hidden="false" customHeight="false" outlineLevel="0" collapsed="false">
      <c r="A5" s="11" t="s">
        <v>318</v>
      </c>
      <c r="B5" s="52" t="n">
        <f aca="false">Inputs!B14</f>
        <v>2000000</v>
      </c>
      <c r="C5" s="53"/>
      <c r="D5" s="53"/>
      <c r="E5" s="53"/>
      <c r="F5" s="53"/>
    </row>
    <row r="6" customFormat="false" ht="15" hidden="false" customHeight="false" outlineLevel="0" collapsed="false">
      <c r="A6" s="9" t="s">
        <v>319</v>
      </c>
      <c r="B6" s="54" t="n">
        <f aca="false">Inputs!B15</f>
        <v>0.14</v>
      </c>
    </row>
    <row r="7" customFormat="false" ht="15" hidden="false" customHeight="false" outlineLevel="0" collapsed="false">
      <c r="A7" s="11" t="s">
        <v>320</v>
      </c>
      <c r="B7" s="55" t="n">
        <f aca="false">Inputs!B16</f>
        <v>14285714</v>
      </c>
      <c r="C7" s="53"/>
      <c r="D7" s="53"/>
      <c r="E7" s="53"/>
      <c r="F7" s="53"/>
    </row>
    <row r="8" customFormat="false" ht="15" hidden="false" customHeight="false" outlineLevel="0" collapsed="false">
      <c r="A8" s="9" t="s">
        <v>321</v>
      </c>
      <c r="B8" s="56" t="n">
        <f aca="false">Inputs!B17</f>
        <v>1999999.96</v>
      </c>
    </row>
    <row r="9" customFormat="false" ht="15" hidden="false" customHeight="false" outlineLevel="0" collapsed="false">
      <c r="A9" s="11" t="s">
        <v>322</v>
      </c>
      <c r="B9" s="52" t="n">
        <f aca="false">Inputs!B17-Inputs!B14</f>
        <v>-0.0399999998044223</v>
      </c>
      <c r="C9" s="53"/>
      <c r="D9" s="53"/>
      <c r="E9" s="53"/>
      <c r="F9" s="53"/>
    </row>
    <row r="11" customFormat="false" ht="15" hidden="false" customHeight="false" outlineLevel="0" collapsed="false">
      <c r="A11" s="5" t="s">
        <v>323</v>
      </c>
    </row>
    <row r="12" customFormat="false" ht="15" hidden="false" customHeight="false" outlineLevel="0" collapsed="false">
      <c r="A12" s="8" t="s">
        <v>65</v>
      </c>
      <c r="B12" s="8" t="s">
        <v>324</v>
      </c>
      <c r="C12" s="8" t="s">
        <v>325</v>
      </c>
      <c r="D12" s="8" t="s">
        <v>326</v>
      </c>
      <c r="E12" s="8" t="s">
        <v>327</v>
      </c>
      <c r="F12" s="8" t="s">
        <v>37</v>
      </c>
    </row>
    <row r="13" customFormat="false" ht="15" hidden="false" customHeight="false" outlineLevel="0" collapsed="false">
      <c r="A13" s="31" t="n">
        <v>1</v>
      </c>
      <c r="B13" s="57" t="s">
        <v>328</v>
      </c>
      <c r="C13" s="58" t="n">
        <v>0</v>
      </c>
      <c r="D13" s="59" t="n">
        <f aca="false">IF(Inputs!$B$15&gt;0,ROUND(C13/Inputs!$B$15,0),0)</f>
        <v>0</v>
      </c>
      <c r="E13" s="36" t="n">
        <f aca="false">IF($B$9&gt;0,D13/$B$9,0)</f>
        <v>0</v>
      </c>
      <c r="F13" s="60"/>
    </row>
    <row r="14" customFormat="false" ht="15" hidden="false" customHeight="false" outlineLevel="0" collapsed="false">
      <c r="A14" s="37" t="n">
        <v>2</v>
      </c>
      <c r="B14" s="61" t="s">
        <v>328</v>
      </c>
      <c r="C14" s="62" t="n">
        <v>0</v>
      </c>
      <c r="D14" s="63" t="n">
        <f aca="false">IF(Inputs!$B$15&gt;0,ROUND(C14/Inputs!$B$15,0),0)</f>
        <v>0</v>
      </c>
      <c r="E14" s="42" t="n">
        <f aca="false">IF($B$9&gt;0,D14/$B$9,0)</f>
        <v>0</v>
      </c>
      <c r="F14" s="64"/>
    </row>
    <row r="15" customFormat="false" ht="15" hidden="false" customHeight="false" outlineLevel="0" collapsed="false">
      <c r="A15" s="31" t="n">
        <v>3</v>
      </c>
      <c r="B15" s="57" t="s">
        <v>328</v>
      </c>
      <c r="C15" s="58" t="n">
        <v>0</v>
      </c>
      <c r="D15" s="59" t="n">
        <f aca="false">IF(Inputs!$B$15&gt;0,ROUND(C15/Inputs!$B$15,0),0)</f>
        <v>0</v>
      </c>
      <c r="E15" s="36" t="n">
        <f aca="false">IF($B$9&gt;0,D15/$B$9,0)</f>
        <v>0</v>
      </c>
      <c r="F15" s="60"/>
    </row>
    <row r="16" customFormat="false" ht="15" hidden="false" customHeight="false" outlineLevel="0" collapsed="false">
      <c r="A16" s="37" t="n">
        <v>4</v>
      </c>
      <c r="B16" s="61" t="s">
        <v>328</v>
      </c>
      <c r="C16" s="62" t="n">
        <v>0</v>
      </c>
      <c r="D16" s="63" t="n">
        <f aca="false">IF(Inputs!$B$15&gt;0,ROUND(C16/Inputs!$B$15,0),0)</f>
        <v>0</v>
      </c>
      <c r="E16" s="42" t="n">
        <f aca="false">IF($B$9&gt;0,D16/$B$9,0)</f>
        <v>0</v>
      </c>
      <c r="F16" s="64"/>
    </row>
    <row r="17" customFormat="false" ht="15" hidden="false" customHeight="false" outlineLevel="0" collapsed="false">
      <c r="A17" s="31" t="n">
        <v>5</v>
      </c>
      <c r="B17" s="57" t="s">
        <v>328</v>
      </c>
      <c r="C17" s="58" t="n">
        <v>0</v>
      </c>
      <c r="D17" s="59" t="n">
        <f aca="false">IF(Inputs!$B$15&gt;0,ROUND(C17/Inputs!$B$15,0),0)</f>
        <v>0</v>
      </c>
      <c r="E17" s="36" t="n">
        <f aca="false">IF($B$9&gt;0,D17/$B$9,0)</f>
        <v>0</v>
      </c>
      <c r="F17" s="60"/>
    </row>
    <row r="18" customFormat="false" ht="15" hidden="false" customHeight="false" outlineLevel="0" collapsed="false">
      <c r="A18" s="37" t="n">
        <v>6</v>
      </c>
      <c r="B18" s="61" t="s">
        <v>328</v>
      </c>
      <c r="C18" s="62" t="n">
        <v>0</v>
      </c>
      <c r="D18" s="63" t="n">
        <f aca="false">IF(Inputs!$B$15&gt;0,ROUND(C18/Inputs!$B$15,0),0)</f>
        <v>0</v>
      </c>
      <c r="E18" s="42" t="n">
        <f aca="false">IF($B$9&gt;0,D18/$B$9,0)</f>
        <v>0</v>
      </c>
      <c r="F18" s="64"/>
    </row>
    <row r="19" customFormat="false" ht="15" hidden="false" customHeight="false" outlineLevel="0" collapsed="false">
      <c r="A19" s="43"/>
      <c r="B19" s="44" t="s">
        <v>329</v>
      </c>
      <c r="C19" s="46" t="n">
        <f aca="false">SUM(C13:C18)</f>
        <v>0</v>
      </c>
      <c r="D19" s="45" t="n">
        <f aca="false">SUM(D13:D18)</f>
        <v>0</v>
      </c>
      <c r="E19" s="47" t="n">
        <f aca="false">SUM(E13:E18)</f>
        <v>0</v>
      </c>
      <c r="F19" s="43"/>
    </row>
    <row r="20" customFormat="false" ht="15" hidden="false" customHeight="false" outlineLevel="0" collapsed="false">
      <c r="A20" s="43"/>
      <c r="B20" s="44" t="s">
        <v>330</v>
      </c>
      <c r="C20" s="46" t="n">
        <f aca="false">B7-C19</f>
        <v>14285714</v>
      </c>
      <c r="D20" s="45" t="n">
        <f aca="false">B9-D19</f>
        <v>-0.0399999998044223</v>
      </c>
      <c r="E20" s="43"/>
      <c r="F20" s="43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.41"/>
    <col collapsed="false" customWidth="true" hidden="false" outlineLevel="0" max="3" min="3" style="1" width="9.51"/>
    <col collapsed="false" customWidth="true" hidden="false" outlineLevel="0" max="4" min="4" style="1" width="13.68"/>
    <col collapsed="false" customWidth="true" hidden="false" outlineLevel="0" max="5" min="5" style="1" width="19.24"/>
    <col collapsed="false" customWidth="true" hidden="false" outlineLevel="0" max="6" min="6" style="1" width="9.78"/>
    <col collapsed="false" customWidth="true" hidden="false" outlineLevel="0" max="7" min="7" style="1" width="18.41"/>
  </cols>
  <sheetData>
    <row r="1" customFormat="false" ht="25.5" hidden="false" customHeight="true" outlineLevel="0" collapsed="false">
      <c r="A1" s="2" t="s">
        <v>331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332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8" t="s">
        <v>333</v>
      </c>
      <c r="B4" s="8" t="s">
        <v>334</v>
      </c>
      <c r="C4" s="8" t="s">
        <v>335</v>
      </c>
      <c r="D4" s="8" t="s">
        <v>336</v>
      </c>
      <c r="E4" s="8" t="s">
        <v>337</v>
      </c>
      <c r="F4" s="8" t="s">
        <v>338</v>
      </c>
      <c r="G4" s="8" t="s">
        <v>70</v>
      </c>
    </row>
    <row r="5" customFormat="false" ht="15" hidden="false" customHeight="false" outlineLevel="0" collapsed="false">
      <c r="A5" s="32" t="s">
        <v>339</v>
      </c>
      <c r="B5" s="65" t="n">
        <f aca="false">Founders!E8</f>
        <v>12000001</v>
      </c>
      <c r="C5" s="36" t="n">
        <f aca="false">IF($B$10&gt;0,B5/$B$10,0)</f>
        <v>0.346820828126566</v>
      </c>
      <c r="D5" s="59" t="n">
        <v>0</v>
      </c>
      <c r="E5" s="59" t="n">
        <f aca="false">B5+D5</f>
        <v>12000001</v>
      </c>
      <c r="F5" s="36" t="n">
        <f aca="false">IF($E$10&gt;0,E5/$E$10,0)</f>
        <v>0.245470501965656</v>
      </c>
      <c r="G5" s="66" t="n">
        <f aca="false">Founders!F8</f>
        <v>6000001</v>
      </c>
    </row>
    <row r="6" customFormat="false" ht="15" hidden="false" customHeight="false" outlineLevel="0" collapsed="false">
      <c r="A6" s="38" t="s">
        <v>340</v>
      </c>
      <c r="B6" s="67" t="n">
        <f aca="false">Seed!E8</f>
        <v>2000000</v>
      </c>
      <c r="C6" s="42" t="n">
        <f aca="false">IF($B$10&gt;0,B6/$B$10,0)</f>
        <v>0.0578034665374721</v>
      </c>
      <c r="D6" s="63" t="n">
        <v>0</v>
      </c>
      <c r="E6" s="63" t="n">
        <f aca="false">B6+D6</f>
        <v>2000000</v>
      </c>
      <c r="F6" s="42" t="n">
        <f aca="false">IF($E$10&gt;0,E6/$E$10,0)</f>
        <v>0.0409117469182971</v>
      </c>
      <c r="G6" s="68" t="n">
        <f aca="false">Seed!F8</f>
        <v>100000</v>
      </c>
    </row>
    <row r="7" customFormat="false" ht="15" hidden="false" customHeight="false" outlineLevel="0" collapsed="false">
      <c r="A7" s="32" t="s">
        <v>341</v>
      </c>
      <c r="B7" s="65" t="n">
        <f aca="false">Investors!E182</f>
        <v>17912500</v>
      </c>
      <c r="C7" s="36" t="n">
        <f aca="false">IF($B$10&gt;0,B7/$B$10,0)</f>
        <v>0.517702297176234</v>
      </c>
      <c r="D7" s="59" t="n">
        <v>0</v>
      </c>
      <c r="E7" s="59" t="n">
        <f aca="false">B7+D7</f>
        <v>17912500</v>
      </c>
      <c r="F7" s="36" t="n">
        <f aca="false">IF($E$10&gt;0,E7/$E$10,0)</f>
        <v>0.366415833336998</v>
      </c>
      <c r="G7" s="66" t="n">
        <f aca="false">Investors!F182</f>
        <v>2151250</v>
      </c>
    </row>
    <row r="8" customFormat="false" ht="15" hidden="false" customHeight="false" outlineLevel="0" collapsed="false">
      <c r="A8" s="38" t="s">
        <v>342</v>
      </c>
      <c r="B8" s="67" t="n">
        <f aca="false">'Warrants Converted'!E58</f>
        <v>2687500</v>
      </c>
      <c r="C8" s="42" t="n">
        <f aca="false">IF($B$10&gt;0,B8/$B$10,0)</f>
        <v>0.0776734081597281</v>
      </c>
      <c r="D8" s="63" t="n">
        <v>0</v>
      </c>
      <c r="E8" s="63" t="n">
        <f aca="false">B8+D8</f>
        <v>2687500</v>
      </c>
      <c r="F8" s="42" t="n">
        <f aca="false">IF($E$10&gt;0,E8/$E$10,0)</f>
        <v>0.0549751599214617</v>
      </c>
      <c r="G8" s="68" t="n">
        <f aca="false">'Warrants Converted'!F58</f>
        <v>308750</v>
      </c>
    </row>
    <row r="9" customFormat="false" ht="15" hidden="false" customHeight="false" outlineLevel="0" collapsed="false">
      <c r="A9" s="32" t="s">
        <v>343</v>
      </c>
      <c r="B9" s="59" t="n">
        <v>0</v>
      </c>
      <c r="C9" s="36" t="n">
        <f aca="false">IF($B$10&gt;0,B9/$B$10,0)</f>
        <v>0</v>
      </c>
      <c r="D9" s="65" t="n">
        <f aca="false">Inputs!B16</f>
        <v>14285714</v>
      </c>
      <c r="E9" s="59" t="n">
        <f aca="false">B9+D9</f>
        <v>14285714</v>
      </c>
      <c r="F9" s="36" t="n">
        <f aca="false">IF($E$10&gt;0,E9/$E$10,0)</f>
        <v>0.292226757857587</v>
      </c>
      <c r="G9" s="66" t="n">
        <f aca="false">Inputs!B17</f>
        <v>1999999.96</v>
      </c>
    </row>
    <row r="10" customFormat="false" ht="15" hidden="false" customHeight="false" outlineLevel="0" collapsed="false">
      <c r="A10" s="44" t="s">
        <v>344</v>
      </c>
      <c r="B10" s="45" t="n">
        <f aca="false">SUM(B5:B9)</f>
        <v>34600001</v>
      </c>
      <c r="C10" s="47" t="n">
        <f aca="false">SUM(C5:C9)</f>
        <v>1</v>
      </c>
      <c r="D10" s="45" t="n">
        <f aca="false">SUM(D5:D9)</f>
        <v>14285714</v>
      </c>
      <c r="E10" s="45" t="n">
        <f aca="false">SUM(E5:E9)</f>
        <v>48885715</v>
      </c>
      <c r="F10" s="47" t="n">
        <f aca="false">SUM(F5:F9)</f>
        <v>1</v>
      </c>
      <c r="G10" s="46" t="n">
        <f aca="false">SUM(G5:G9)</f>
        <v>10560000.96</v>
      </c>
    </row>
    <row r="13" customFormat="false" ht="19.5" hidden="false" customHeight="true" outlineLevel="0" collapsed="false">
      <c r="A13" s="69" t="s">
        <v>345</v>
      </c>
      <c r="B13" s="69"/>
      <c r="C13" s="69"/>
      <c r="D13" s="69"/>
      <c r="E13" s="69"/>
      <c r="F13" s="69"/>
      <c r="G13" s="69"/>
    </row>
    <row r="14" customFormat="false" ht="15" hidden="false" customHeight="false" outlineLevel="0" collapsed="false">
      <c r="A14" s="9" t="s">
        <v>346</v>
      </c>
      <c r="B14" s="10" t="n">
        <f aca="false">B10</f>
        <v>34600001</v>
      </c>
      <c r="C14" s="10"/>
    </row>
    <row r="15" customFormat="false" ht="15" hidden="false" customHeight="false" outlineLevel="0" collapsed="false">
      <c r="A15" s="11" t="s">
        <v>347</v>
      </c>
      <c r="B15" s="70" t="n">
        <f aca="false">Inputs!B15</f>
        <v>0.14</v>
      </c>
      <c r="C15" s="70"/>
      <c r="D15" s="53"/>
      <c r="E15" s="53"/>
      <c r="F15" s="53"/>
      <c r="G15" s="53"/>
    </row>
    <row r="16" customFormat="false" ht="15" hidden="false" customHeight="false" outlineLevel="0" collapsed="false">
      <c r="A16" s="9" t="s">
        <v>348</v>
      </c>
      <c r="B16" s="16" t="n">
        <f aca="false">B10*Inputs!B15</f>
        <v>4844000.14</v>
      </c>
      <c r="C16" s="16"/>
    </row>
    <row r="17" customFormat="false" ht="15" hidden="false" customHeight="false" outlineLevel="0" collapsed="false">
      <c r="A17" s="11" t="s">
        <v>349</v>
      </c>
      <c r="B17" s="15" t="n">
        <f aca="false">Inputs!B17</f>
        <v>1999999.96</v>
      </c>
      <c r="C17" s="15"/>
      <c r="D17" s="53"/>
      <c r="E17" s="53"/>
      <c r="F17" s="53"/>
      <c r="G17" s="53"/>
    </row>
    <row r="18" customFormat="false" ht="15" hidden="false" customHeight="false" outlineLevel="0" collapsed="false">
      <c r="A18" s="9" t="s">
        <v>350</v>
      </c>
      <c r="B18" s="16" t="n">
        <f aca="false">B10*Inputs!B15+Inputs!B17</f>
        <v>6844000.1</v>
      </c>
      <c r="C18" s="16"/>
    </row>
    <row r="19" customFormat="false" ht="15" hidden="false" customHeight="false" outlineLevel="0" collapsed="false">
      <c r="A19" s="11" t="s">
        <v>351</v>
      </c>
      <c r="B19" s="20" t="n">
        <f aca="false">Inputs!B16/E10</f>
        <v>0.292226757857587</v>
      </c>
      <c r="C19" s="20"/>
      <c r="D19" s="53"/>
      <c r="E19" s="53"/>
      <c r="F19" s="53"/>
      <c r="G19" s="53"/>
    </row>
    <row r="20" customFormat="false" ht="15" hidden="false" customHeight="false" outlineLevel="0" collapsed="false">
      <c r="A20" s="9" t="s">
        <v>352</v>
      </c>
      <c r="B20" s="19" t="n">
        <f aca="false">B10/E10</f>
        <v>0.707773242142413</v>
      </c>
      <c r="C20" s="19"/>
    </row>
  </sheetData>
  <mergeCells count="10">
    <mergeCell ref="A1:G1"/>
    <mergeCell ref="A2:G2"/>
    <mergeCell ref="A13:G13"/>
    <mergeCell ref="B14:C14"/>
    <mergeCell ref="B15:C15"/>
    <mergeCell ref="B16:C16"/>
    <mergeCell ref="B17:C17"/>
    <mergeCell ref="B18:C18"/>
    <mergeCell ref="B19:C19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2026-04-27T20:56:59Z</dcterms:created>
  <dc:creator>openpyxl</dc:creator>
  <dc:description/>
  <dc:language>en-US</dc:language>
  <cp:lastModifiedBy/>
  <dcterms:modified xsi:type="dcterms:W3CDTF">2026-04-28T11:41:26Z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